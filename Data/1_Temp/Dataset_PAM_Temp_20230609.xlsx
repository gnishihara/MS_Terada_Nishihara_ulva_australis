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radaryuuta/Desktop/Uva_asustralis_study_2026/"/>
    </mc:Choice>
  </mc:AlternateContent>
  <xr:revisionPtr revIDLastSave="0" documentId="13_ncr:1_{7E9A3FCD-5E53-AA45-A488-EAFC0A1A787C}" xr6:coauthVersionLast="47" xr6:coauthVersionMax="47" xr10:uidLastSave="{00000000-0000-0000-0000-000000000000}"/>
  <bookViews>
    <workbookView xWindow="12180" yWindow="1480" windowWidth="36520" windowHeight="25400" activeTab="1" xr2:uid="{5136B911-9D8F-424F-820E-841C405F223C}"/>
  </bookViews>
  <sheets>
    <sheet name="1-d_analysis" sheetId="8" r:id="rId1"/>
    <sheet name="3-d_analysis" sheetId="2" r:id="rId2"/>
    <sheet name="5-d_analysis" sheetId="9" r:id="rId3"/>
    <sheet name="7-d_analysis" sheetId="10" r:id="rId4"/>
  </sheets>
  <definedNames>
    <definedName name="yabure_20230429_12c_50umol_1d" localSheetId="0">'1-d_analysis'!$D$4:$O$4</definedName>
    <definedName name="yabure_20230429_16c_50umol_1d" localSheetId="0">'1-d_analysis'!$D$5:$O$5</definedName>
    <definedName name="yabure_20230429_20c_50umol_1d" localSheetId="0">'1-d_analysis'!$D$6:$O$6</definedName>
    <definedName name="yabure_20230429_24c_50umol_1d" localSheetId="0">'1-d_analysis'!$D$7:$O$7</definedName>
    <definedName name="yabure_20230429_28c_50umol_1d" localSheetId="0">'1-d_analysis'!$D$8:$O$8</definedName>
    <definedName name="yabure_20230429_32c_50umol_1d" localSheetId="0">'1-d_analysis'!$D$9:$O$9</definedName>
    <definedName name="yabure_20230429_36c_50umol_1d" localSheetId="0">'1-d_analysis'!$D$11:$O$11</definedName>
    <definedName name="yabure_20230429_8c_50umol_1d" localSheetId="0">'1-d_analysis'!$D$3:$O$3</definedName>
    <definedName name="yabure_20230501_12c_50umol_3d" localSheetId="1">'3-d_analysis'!$D$4:$O$4</definedName>
    <definedName name="yabure_20230501_16c_50umol_3d" localSheetId="1">'3-d_analysis'!$D$5:$O$5</definedName>
    <definedName name="yabure_20230501_20c_50umol_3d" localSheetId="1">'3-d_analysis'!$D$6:$O$6</definedName>
    <definedName name="yabure_20230501_24c_50umol_3d" localSheetId="1">'3-d_analysis'!$D$7:$O$7</definedName>
    <definedName name="yabure_20230501_28c_50umol_3d" localSheetId="1">'3-d_analysis'!$D$8:$O$8</definedName>
    <definedName name="yabure_20230501_32c_50umol_3d" localSheetId="1">'3-d_analysis'!$D$9:$O$9</definedName>
    <definedName name="yabure_20230501_36c_50umol_3d" localSheetId="1">'3-d_analysis'!$D$11:$O$11</definedName>
    <definedName name="yabure_20230501_4c_50umol_1d" localSheetId="0">'1-d_analysis'!$D$1:$O$2</definedName>
    <definedName name="yabure_20230501_8c_50umol_3d" localSheetId="1">'3-d_analysis'!$D$3:$O$3</definedName>
    <definedName name="yabure_20230503_12c_50umol_5d" localSheetId="2">'5-d_analysis'!$D$4:$O$4</definedName>
    <definedName name="yabure_20230503_16c_50umol_5d" localSheetId="2">'5-d_analysis'!$D$5:$O$5</definedName>
    <definedName name="yabure_20230503_20c_50umol_5d" localSheetId="2">'5-d_analysis'!$D$6:$O$6</definedName>
    <definedName name="yabure_20230503_24c_50umol_5d" localSheetId="2">'5-d_analysis'!$D$7:$O$7</definedName>
    <definedName name="yabure_20230503_28c_50umol_5d" localSheetId="2">'5-d_analysis'!$D$8:$O$8</definedName>
    <definedName name="yabure_20230503_32c_50umol_5d" localSheetId="2">'5-d_analysis'!$D$9:$O$9</definedName>
    <definedName name="yabure_20230503_36c_50umol_5d" localSheetId="2">'5-d_analysis'!$D$11:$O$11</definedName>
    <definedName name="yabure_20230503_8c_50umol_5d" localSheetId="2">'5-d_analysis'!$D$3:$O$3</definedName>
    <definedName name="yabure_20230505_12c_50umol_7d" localSheetId="3">'7-d_analysis'!$D$4:$O$4</definedName>
    <definedName name="yabure_20230505_16c_50umol_7d" localSheetId="3">'7-d_analysis'!$D$5:$O$5</definedName>
    <definedName name="yabure_20230505_20c_50umol_7d" localSheetId="3">'7-d_analysis'!$D$6:$O$6</definedName>
    <definedName name="yabure_20230505_24c_50umol_7d" localSheetId="3">'7-d_analysis'!$D$7:$O$7</definedName>
    <definedName name="yabure_20230505_28c_50umol_7d" localSheetId="3">'7-d_analysis'!$D$8:$O$8</definedName>
    <definedName name="yabure_20230505_32c_50umol_7d" localSheetId="3">'7-d_analysis'!$D$9:$O$9</definedName>
    <definedName name="yabure_20230505_36c_50umol_7d" localSheetId="3">'7-d_analysis'!$D$11:$O$11</definedName>
    <definedName name="yabure_20230505_4c_50umol_5d" localSheetId="2">'5-d_analysis'!$D$1:$O$2</definedName>
    <definedName name="yabure_20230505_8c_50umol_7d" localSheetId="3">'7-d_analysis'!$D$3:$O$3</definedName>
    <definedName name="yabure_20230507_4c_50umol_7d" localSheetId="3">'7-d_analysis'!$D$1:$O$2</definedName>
    <definedName name="yabure_20230604_32c_50umol_1d_2" localSheetId="0">'1-d_analysis'!#REF!</definedName>
    <definedName name="yabure_20230604_34c_50umol_1d_2" localSheetId="0">'1-d_analysis'!#REF!</definedName>
    <definedName name="yabure_20230604_34c_50umol_1d_2_9" localSheetId="0">'1-d_analysis'!$D$10:$Y$10</definedName>
    <definedName name="yabure_20230604_36c_50umol_1d_2" localSheetId="0">'1-d_analysis'!#REF!</definedName>
    <definedName name="yabure_20230608_32c_50umol_5d_2" localSheetId="2">'5-d_analysis'!#REF!</definedName>
    <definedName name="yabure_20230608_34c_50umol_5d_2" localSheetId="2">'5-d_analysis'!#REF!</definedName>
    <definedName name="yabure_20230608_34c_50umol_5d_2_9" localSheetId="2">'5-d_analysis'!$D$10:$O$10</definedName>
    <definedName name="yabure_20230608_36c_50umol_5d_2" localSheetId="2">'5-d_analysis'!#REF!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0" l="1"/>
  <c r="Q11" i="10"/>
  <c r="R10" i="10"/>
  <c r="Q10" i="10"/>
  <c r="R9" i="10"/>
  <c r="Q9" i="10"/>
  <c r="R8" i="10"/>
  <c r="Q8" i="10"/>
  <c r="R7" i="10"/>
  <c r="Q7" i="10"/>
  <c r="R6" i="10"/>
  <c r="Q6" i="10"/>
  <c r="R5" i="10"/>
  <c r="Q5" i="10"/>
  <c r="R4" i="10"/>
  <c r="Q4" i="10"/>
  <c r="R3" i="10"/>
  <c r="Q3" i="10"/>
  <c r="R2" i="10"/>
  <c r="Q2" i="10"/>
  <c r="R7" i="9"/>
  <c r="R10" i="9"/>
  <c r="Q10" i="9"/>
  <c r="R11" i="9"/>
  <c r="Q11" i="9"/>
  <c r="R9" i="9"/>
  <c r="Q9" i="9"/>
  <c r="R8" i="9"/>
  <c r="Q8" i="9"/>
  <c r="Q7" i="9"/>
  <c r="R6" i="9"/>
  <c r="Q6" i="9"/>
  <c r="R5" i="9"/>
  <c r="Q5" i="9"/>
  <c r="R4" i="9"/>
  <c r="Q4" i="9"/>
  <c r="R3" i="9"/>
  <c r="Q3" i="9"/>
  <c r="R2" i="9"/>
  <c r="Q2" i="9"/>
  <c r="R10" i="8"/>
  <c r="Q10" i="8"/>
  <c r="R11" i="8"/>
  <c r="Q11" i="8"/>
  <c r="R9" i="8"/>
  <c r="Q9" i="8"/>
  <c r="R8" i="8"/>
  <c r="Q8" i="8"/>
  <c r="R7" i="8"/>
  <c r="Q7" i="8"/>
  <c r="R6" i="8"/>
  <c r="Q6" i="8"/>
  <c r="R5" i="8"/>
  <c r="Q5" i="8"/>
  <c r="R4" i="8"/>
  <c r="Q4" i="8"/>
  <c r="R3" i="8"/>
  <c r="Q3" i="8"/>
  <c r="R2" i="8"/>
  <c r="Q2" i="8"/>
  <c r="R10" i="2"/>
  <c r="Q10" i="2"/>
  <c r="R11" i="2"/>
  <c r="Q11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Q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F7ED11-F329-C246-88C4-9B799364D662}" name="yabure-20230429-12c-50umol-1d1" type="6" refreshedVersion="8" background="1" saveData="1">
    <textPr codePage="10001" sourceFile="/Users/teradaryuuta_iMac2016/Dropbox/Terada_DATA_2023/1_Project/Ulva_Umbraulva_study_Nagashima/Ulva_lacinulata_アオサリカ/1_PAM_Temp/yabure-20230429-temp-50umol-1d/yabure-20230429-12c-50umol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BA84FB4-CAE9-B541-B64D-75E4684AB67A}" name="yabure-20230429-16c-50umol-1d1" type="6" refreshedVersion="8" background="1" saveData="1">
    <textPr codePage="10001" sourceFile="/Users/teradaryuuta_iMac2016/Dropbox/Terada_DATA_2023/1_Project/Ulva_Umbraulva_study_Nagashima/Ulva_lacinulata_アオサリカ/1_PAM_Temp/yabure-20230429-temp-50umol-1d/yabure-20230429-16c-50umol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C4C52A16-E5F6-6E47-AE2E-323AA8E22933}" name="yabure-20230429-20c-50umol-1d1" type="6" refreshedVersion="8" background="1" saveData="1">
    <textPr codePage="10001" sourceFile="/Users/teradaryuuta_iMac2016/Dropbox/Terada_DATA_2023/1_Project/Ulva_Umbraulva_study_Nagashima/Ulva_lacinulata_アオサリカ/1_PAM_Temp/yabure-20230429-temp-50umol-1d/yabure-20230429-20c-50umol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3FD0961-ED79-1344-9639-B03DED505E7D}" name="yabure-20230429-24c-50umol-1d1" type="6" refreshedVersion="8" background="1" saveData="1">
    <textPr codePage="10001" sourceFile="/Users/teradaryuuta_iMac2016/Dropbox/Terada_DATA_2023/1_Project/Ulva_Umbraulva_study_Nagashima/Ulva_lacinulata_アオサリカ/1_PAM_Temp/yabure-20230429-temp-50umol-1d/yabure-20230429-24c-50umol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BE2E6C47-E3A7-4843-A99E-13C0448720FF}" name="yabure-20230429-28c-50umol-1d1" type="6" refreshedVersion="8" background="1" saveData="1">
    <textPr codePage="10001" sourceFile="/Users/teradaryuuta_iMac2016/Dropbox/Terada_DATA_2023/1_Project/Ulva_Umbraulva_study_Nagashima/Ulva_lacinulata_アオサリカ/1_PAM_Temp/yabure-20230429-temp-50umol-1d/yabure-20230429-28c-50umol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C73B067E-7E9C-B640-A2CA-9470A65CE1C6}" name="yabure-20230429-32c-50umol-1d1" type="6" refreshedVersion="8" background="1" saveData="1">
    <textPr codePage="10001" sourceFile="/Users/teradaryuuta_iMac2016/Dropbox/Terada_DATA_2023/1_Project/Ulva_Umbraulva_study_Nagashima/Ulva_lacinulata_アオサリカ/1_PAM_Temp/yabure-20230429-temp-50umol-1d/yabure-20230429-32c-50umol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BE13D33A-4268-9343-BF7C-5FE7090E998D}" name="yabure-20230429-36c-50umol-1d1" type="6" refreshedVersion="8" background="1" saveData="1">
    <textPr codePage="10001" sourceFile="/Users/teradaryuuta_iMac2016/Dropbox/Terada_DATA_2023/1_Project/Ulva_Umbraulva_study_Nagashima/Ulva_lacinulata_アオサリカ/1_PAM_Temp/yabure-20230429-temp-50umol-1d/yabure-20230429-36c-50umol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F089A055-7507-D543-9C50-A8376A39EC39}" name="yabure-20230429-8c-50umol-1d1" type="6" refreshedVersion="8" background="1" saveData="1">
    <textPr codePage="10001" sourceFile="/Users/teradaryuuta_iMac2016/Dropbox/Terada_DATA_2023/1_Project/Ulva_Umbraulva_study_Nagashima/Ulva_lacinulata_アオサリカ/1_PAM_Temp/yabure-20230429-temp-50umol-1d/yabure-20230429-8c-50umol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CD8B296B-35D6-1C4E-B081-D5E71248529F}" name="yabure-20230501-12c-50umol-3d1" type="6" refreshedVersion="8" background="1" saveData="1">
    <textPr codePage="10001" sourceFile="/Users/teradaryuuta_iMac2016/Dropbox/Terada_DATA_2023/1_Project/Umbraulva_yunsella_Nagashima/yabure-20230501-temp-50umol-3d/yabure-20230501-12c-50umol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9D51C658-EB92-AF43-8A15-3BFB0C2E3925}" name="yabure-20230501-16c-50umol-3d1" type="6" refreshedVersion="8" background="1" saveData="1">
    <textPr codePage="10001" sourceFile="/Users/teradaryuuta_iMac2016/Dropbox/Terada_DATA_2023/1_Project/Umbraulva_yunsella_Nagashima/yabure-20230501-temp-50umol-3d/yabure-20230501-16c-50umol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3A55676F-94D2-D141-B3C9-E9ACE2F9691A}" name="yabure-20230501-20c-50umol-3d1" type="6" refreshedVersion="8" background="1" saveData="1">
    <textPr codePage="10001" sourceFile="/Users/teradaryuuta_iMac2016/Dropbox/Terada_DATA_2023/1_Project/Umbraulva_yunsella_Nagashima/yabure-20230501-temp-50umol-3d/yabure-20230501-20c-50umol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1790B34E-6624-964E-A559-B26A631612A6}" name="yabure-20230501-24c-50umol-3d1" type="6" refreshedVersion="8" background="1" saveData="1">
    <textPr codePage="10001" sourceFile="/Users/teradaryuuta_iMac2016/Dropbox/Terada_DATA_2023/1_Project/Umbraulva_yunsella_Nagashima/yabure-20230501-temp-50umol-3d/yabure-20230501-24c-50umol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250BD33C-CC25-7941-BC6B-CEB895C8937D}" name="yabure-20230501-28c-50umol-3d1" type="6" refreshedVersion="8" background="1" saveData="1">
    <textPr codePage="10001" sourceFile="/Users/teradaryuuta_iMac2016/Dropbox/Terada_DATA_2023/1_Project/Umbraulva_yunsella_Nagashima/yabure-20230501-temp-50umol-3d/yabure-20230501-28c-50umol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D60B4611-B23E-A145-AD10-45E1CC3DF4F8}" name="yabure-20230501-32c-50umol-3d1" type="6" refreshedVersion="8" background="1" saveData="1">
    <textPr codePage="10001" sourceFile="/Users/teradaryuuta_iMac2016/Dropbox/Terada_DATA_2023/1_Project/Umbraulva_yunsella_Nagashima/yabure-20230501-temp-50umol-3d/yabure-20230501-32c-50umol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AEC7DB8C-B1CD-0846-B07B-1B13436ACEDA}" name="yabure-20230501-36c-50umol-3d1" type="6" refreshedVersion="8" background="1" saveData="1">
    <textPr codePage="10001" sourceFile="/Users/teradaryuuta_iMac2016/Dropbox/Terada_DATA_2023/1_Project/Umbraulva_yunsella_Nagashima/yabure-20230501-temp-50umol-3d/yabure-20230501-36c-50umol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CEA2646F-431F-AB41-B200-34A388F0CABE}" name="yabure-20230501-4c-50umol-1d1" type="6" refreshedVersion="8" background="1" saveData="1">
    <textPr codePage="10001" sourceFile="/Users/teradaryuuta_iMac2016/Dropbox/Terada_DATA_2023/1_Project/Ulva_Umbraulva_study_Nagashima/Ulva_lacinulata_アオサリカ/1_PAM_Temp/yabure-20230429-temp-50umol-1d/yabure-20230501-4c-50umol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34C34AF0-B490-BE4D-9D79-2DC098ACAB6C}" name="yabure-20230501-8c-50umol-3d1" type="6" refreshedVersion="8" background="1" saveData="1">
    <textPr codePage="10001" sourceFile="/Users/teradaryuuta_iMac2016/Dropbox/Terada_DATA_2023/1_Project/Umbraulva_yunsella_Nagashima/yabure-20230501-temp-50umol-3d/yabure-20230501-8c-50umol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59EE8D9C-146C-9541-99B9-0CAB16640836}" name="yabure-20230503-12c-50umol-5d1" type="6" refreshedVersion="8" background="1" saveData="1">
    <textPr codePage="10001" sourceFile="/Users/teradaryuuta_iMac2016/Dropbox/Terada_DATA_2023/1_Project/Ulva_Umbraulva_study_Nagashima/Ulva_lacinulata_アオサリカ/1_PAM_Temp/yabure-20230503-temp-50umol-5d/yabure-20230503-12c-50umol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581235C8-B472-694F-AB69-FE8C5A2157B2}" name="yabure-20230503-16c-50umol-5d1" type="6" refreshedVersion="8" background="1" saveData="1">
    <textPr codePage="10001" sourceFile="/Users/teradaryuuta_iMac2016/Dropbox/Terada_DATA_2023/1_Project/Ulva_Umbraulva_study_Nagashima/Ulva_lacinulata_アオサリカ/1_PAM_Temp/yabure-20230503-temp-50umol-5d/yabure-20230503-16c-50umol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65D74BD4-51D4-7B4D-8175-31DC2428922A}" name="yabure-20230503-20c-50umol-5d1" type="6" refreshedVersion="8" background="1" saveData="1">
    <textPr codePage="10001" sourceFile="/Users/teradaryuuta_iMac2016/Dropbox/Terada_DATA_2023/1_Project/Ulva_Umbraulva_study_Nagashima/Ulva_lacinulata_アオサリカ/1_PAM_Temp/yabure-20230503-temp-50umol-5d/yabure-20230503-20c-50umol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8741EFCB-33A3-9043-A389-E3E8748B955A}" name="yabure-20230503-24c-50umol-5d1" type="6" refreshedVersion="8" background="1" saveData="1">
    <textPr codePage="10001" sourceFile="/Users/teradaryuuta_iMac2016/Dropbox/Terada_DATA_2023/1_Project/Ulva_Umbraulva_study_Nagashima/Ulva_lacinulata_アオサリカ/1_PAM_Temp/yabure-20230503-temp-50umol-5d/yabure-20230503-24c-50umol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10503255-9CBD-A040-88CD-E02905E86E5A}" name="yabure-20230503-28c-50umol-5d1" type="6" refreshedVersion="8" background="1" saveData="1">
    <textPr codePage="10001" sourceFile="/Users/teradaryuuta_iMac2016/Dropbox/Terada_DATA_2023/1_Project/Ulva_Umbraulva_study_Nagashima/Ulva_lacinulata_アオサリカ/1_PAM_Temp/yabure-20230503-temp-50umol-5d/yabure-20230503-28c-50umol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xr16:uid="{2499D25C-615F-CF41-81A1-301A8E6D34F9}" name="yabure-20230503-32c-50umol-5d1" type="6" refreshedVersion="8" background="1" saveData="1">
    <textPr codePage="10001" sourceFile="/Users/teradaryuuta_iMac2016/Dropbox/Terada_DATA_2023/1_Project/Ulva_Umbraulva_study_Nagashima/Ulva_lacinulata_アオサリカ/1_PAM_Temp/yabure-20230503-temp-50umol-5d/yabure-20230503-32c-50umol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xr16:uid="{7999ECF3-6824-5946-8D68-70FFF8B1A97F}" name="yabure-20230503-36c-50umol-5d1" type="6" refreshedVersion="8" background="1" saveData="1">
    <textPr codePage="10001" sourceFile="/Users/teradaryuuta_iMac2016/Dropbox/Terada_DATA_2023/1_Project/Ulva_Umbraulva_study_Nagashima/Ulva_lacinulata_アオサリカ/1_PAM_Temp/yabure-20230503-temp-50umol-5d/yabure-20230503-36c-50umol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xr16:uid="{2DE2534D-9FF8-2B48-82D5-3C91195DFB28}" name="yabure-20230503-8c-50umol-5d1" type="6" refreshedVersion="8" background="1" saveData="1">
    <textPr codePage="10001" sourceFile="/Users/teradaryuuta_iMac2016/Dropbox/Terada_DATA_2023/1_Project/Ulva_Umbraulva_study_Nagashima/Ulva_lacinulata_アオサリカ/1_PAM_Temp/yabure-20230503-temp-50umol-5d/yabure-20230503-8c-50umol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xr16:uid="{2D654421-6309-6F41-A42F-DAC8EA4E6751}" name="yabure-20230505-12c-50umol-7d1" type="6" refreshedVersion="8" background="1" saveData="1">
    <textPr codePage="10001" sourceFile="/Users/teradaryuuta_iMac2016/Dropbox/Terada_DATA_2023/1_Project/Ulva_Umbraulva_study_Nagashima/Ulva_lacinulata_アオサリカ/1_PAM_Temp/yabure-20230505-temp-50umol-7d/yabure-20230505-12c-50umol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xr16:uid="{14B09743-D5D0-E043-A6EF-6C3824D3810A}" name="yabure-20230505-16c-50umol-7d1" type="6" refreshedVersion="8" background="1" saveData="1">
    <textPr codePage="10001" sourceFile="/Users/teradaryuuta_iMac2016/Dropbox/Terada_DATA_2023/1_Project/Ulva_Umbraulva_study_Nagashima/Ulva_lacinulata_アオサリカ/1_PAM_Temp/yabure-20230505-temp-50umol-7d/yabure-20230505-16c-50umol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xr16:uid="{F91A3FD9-9EA2-AE42-82D5-8E8CECDCDF2A}" name="yabure-20230505-20c-50umol-7d1" type="6" refreshedVersion="8" background="1" saveData="1">
    <textPr codePage="10001" sourceFile="/Users/teradaryuuta_iMac2016/Dropbox/Terada_DATA_2023/1_Project/Ulva_Umbraulva_study_Nagashima/Ulva_lacinulata_アオサリカ/1_PAM_Temp/yabure-20230505-temp-50umol-7d/yabure-20230505-20c-50umol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9" xr16:uid="{2F6F616B-CDD3-D348-8E9D-5750089C7548}" name="yabure-20230505-24c-50umol-7d1" type="6" refreshedVersion="8" background="1" saveData="1">
    <textPr codePage="10001" sourceFile="/Users/teradaryuuta_iMac2016/Dropbox/Terada_DATA_2023/1_Project/Ulva_Umbraulva_study_Nagashima/Ulva_lacinulata_アオサリカ/1_PAM_Temp/yabure-20230505-temp-50umol-7d/yabure-20230505-24c-50umol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0" xr16:uid="{4FD885E8-5A2B-4D4B-A059-BB42B2E63BEC}" name="yabure-20230505-28c-50umol-7d1" type="6" refreshedVersion="8" background="1" saveData="1">
    <textPr codePage="10001" sourceFile="/Users/teradaryuuta_iMac2016/Dropbox/Terada_DATA_2023/1_Project/Ulva_Umbraulva_study_Nagashima/Ulva_lacinulata_アオサリカ/1_PAM_Temp/yabure-20230505-temp-50umol-7d/yabure-20230505-28c-50umol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1" xr16:uid="{9656874F-4F7C-D043-9EBD-869879012E02}" name="yabure-20230505-32c-50umol-7d1" type="6" refreshedVersion="8" background="1" saveData="1">
    <textPr codePage="10001" sourceFile="/Users/teradaryuuta_iMac2016/Dropbox/Terada_DATA_2023/1_Project/Ulva_Umbraulva_study_Nagashima/Ulva_lacinulata_アオサリカ/1_PAM_Temp/yabure-20230505-temp-50umol-7d/yabure-20230505-32c-50umol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2" xr16:uid="{8D6CC88A-EF0D-6C4E-89FF-23281262329F}" name="yabure-20230505-36c-50umol-7d1" type="6" refreshedVersion="8" background="1" saveData="1">
    <textPr codePage="10001" sourceFile="/Users/teradaryuuta_iMac2016/Dropbox/Terada_DATA_2023/1_Project/Ulva_Umbraulva_study_Nagashima/Ulva_lacinulata_アオサリカ/1_PAM_Temp/yabure-20230505-temp-50umol-7d/yabure-20230505-36c-50umol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xr16:uid="{5B8B7639-CEAD-9741-8400-0A1F13CB481E}" name="yabure-20230505-4c-50umol-5d1" type="6" refreshedVersion="8" background="1" saveData="1">
    <textPr codePage="10001" sourceFile="/Users/teradaryuuta_iMac2016/Dropbox/Terada_DATA_2023/1_Project/Ulva_Umbraulva_study_Nagashima/Ulva_lacinulata_アオサリカ/1_PAM_Temp/yabure-20230503-temp-50umol-5d/yabure-20230505-4c-50umol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4" xr16:uid="{8EFCE630-A4F2-D546-94D9-F2FCCA046EF2}" name="yabure-20230505-8c-50umol-7d1" type="6" refreshedVersion="8" background="1" saveData="1">
    <textPr codePage="10001" sourceFile="/Users/teradaryuuta_iMac2016/Dropbox/Terada_DATA_2023/1_Project/Ulva_Umbraulva_study_Nagashima/Ulva_lacinulata_アオサリカ/1_PAM_Temp/yabure-20230505-temp-50umol-7d/yabure-20230505-8c-50umol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5" xr16:uid="{51CD41AF-E71B-3E45-B3E8-51E4892EE134}" name="yabure-20230507-4c-50umol-7d1" type="6" refreshedVersion="8" background="1" saveData="1">
    <textPr codePage="10001" sourceFile="/Users/teradaryuuta_iMac2016/Dropbox/Terada_DATA_2023/1_Project/Ulva_Umbraulva_study_Nagashima/Ulva_lacinulata_アオサリカ/1_PAM_Temp/yabure-20230505-temp-50umol-7d/yabure-20230507-4c-50umol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6" xr16:uid="{BFDB1A50-282B-6745-8A1B-D988EE3055FF}" name="yabure-20230604-34c-50umol-1d-211" type="6" refreshedVersion="8" background="1" saveData="1">
    <textPr codePage="10001" sourceFile="/Users/teradaryuuta_iMac2016/Dropbox/Terada_DATA_2023/1_Project/Ulva_Umbraulva_study_Nagashima/Ulva_lacinulata_アオサリカ/1_PAM_Temp/yabure-20230604-temp-50umol-1d-2/yabure-20230604-34c-50umol-1d-2.csv" space="1" comma="1" semicolon="1" consecutive="1">
      <textFields count="4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7" xr16:uid="{B5C6E341-C58D-A042-AACD-8212D9B5D313}" name="yabure-20230608-34c-50umol-5d-211" type="6" refreshedVersion="8" background="1" saveData="1">
    <textPr codePage="10001" sourceFile="/Users/teradaryuuta_iMac2016/Dropbox/Terada_DATA_2023/1_Project/Ulva_Umbraulva_study_Nagashima/Ulva_lacinulata_アオサリカ/1_PAM_Temp/yabure-20230608-temp-50umol-5d-2/yabure-20230608-34c-50umol-5d-2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<sst xmlns="http://schemas.openxmlformats.org/spreadsheetml/2006/main" count="148" uniqueCount="32">
  <si>
    <t>Date</t>
    <phoneticPr fontId="2"/>
  </si>
  <si>
    <t>Temp</t>
    <phoneticPr fontId="2"/>
  </si>
  <si>
    <t>PAR</t>
    <phoneticPr fontId="2"/>
  </si>
  <si>
    <t>3-d</t>
    <phoneticPr fontId="2"/>
  </si>
  <si>
    <t>Date</t>
  </si>
  <si>
    <t>Time</t>
  </si>
  <si>
    <t>PAR</t>
  </si>
  <si>
    <t>Y(II)1</t>
  </si>
  <si>
    <t>Y(II)2</t>
  </si>
  <si>
    <t>Y(II)3</t>
  </si>
  <si>
    <t>Y(II)4</t>
  </si>
  <si>
    <t>Y(II)5</t>
  </si>
  <si>
    <t>Y(II)6</t>
  </si>
  <si>
    <t>Y(II)7</t>
  </si>
  <si>
    <t>Y(II)8</t>
  </si>
  <si>
    <t>Y(II)9</t>
  </si>
  <si>
    <t>Y(II)10</t>
  </si>
  <si>
    <t>01.05.23</t>
  </si>
  <si>
    <t>mean</t>
    <phoneticPr fontId="2"/>
  </si>
  <si>
    <t>SD</t>
    <phoneticPr fontId="2"/>
  </si>
  <si>
    <t>1-d</t>
    <phoneticPr fontId="2"/>
  </si>
  <si>
    <t>29.04.23</t>
  </si>
  <si>
    <t>03.05.23</t>
  </si>
  <si>
    <t>5-d</t>
    <phoneticPr fontId="2"/>
  </si>
  <si>
    <t>05.05.23</t>
  </si>
  <si>
    <t>Temp</t>
  </si>
  <si>
    <t>7-d</t>
    <phoneticPr fontId="2"/>
  </si>
  <si>
    <t>07.05.23</t>
  </si>
  <si>
    <t>04.06.23</t>
  </si>
  <si>
    <t>06.06.23</t>
  </si>
  <si>
    <t>08.06.23</t>
  </si>
  <si>
    <t>10.06.23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</si>
</sst>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charset val="128"/>
      <scheme val="minor"/>
    </font>
    <font>
      <sz val="12"/>
      <color theme="1"/>
      <name val="Arial"/>
      <family val="2"/>
    </font>
    <font>
      <sz val="6"/>
      <name val="Calibri"/>
      <family val="2"/>
      <charset val="128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2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'1-d_analysis'!$R$2:$R$11</c:f>
                <c:numCache>
                  <c:formatCode>General</c:formatCode>
                  <c:ptCount val="10"/>
                  <c:pt idx="0">
                    <c:v>5.971674806953229E-2</c:v>
                  </c:pt>
                  <c:pt idx="1">
                    <c:v>2.2601106167619338E-2</c:v>
                  </c:pt>
                  <c:pt idx="2">
                    <c:v>2.2112439937736404E-2</c:v>
                  </c:pt>
                  <c:pt idx="3">
                    <c:v>1.7232527382830428E-2</c:v>
                  </c:pt>
                  <c:pt idx="4">
                    <c:v>1.448999654934398E-2</c:v>
                  </c:pt>
                  <c:pt idx="5">
                    <c:v>1.2658988901172175E-2</c:v>
                  </c:pt>
                  <c:pt idx="6">
                    <c:v>1.192644121270047E-2</c:v>
                  </c:pt>
                  <c:pt idx="7">
                    <c:v>1.3031116606031899E-2</c:v>
                  </c:pt>
                  <c:pt idx="8">
                    <c:v>2.4831633051412443E-2</c:v>
                  </c:pt>
                  <c:pt idx="9">
                    <c:v>2.9749621846336134E-2</c:v>
                  </c:pt>
                </c:numCache>
              </c:numRef>
            </c:plus>
            <c:minus>
              <c:numRef>
                <c:f>'1-d_analysis'!$R$2:$R$11</c:f>
                <c:numCache>
                  <c:formatCode>General</c:formatCode>
                  <c:ptCount val="10"/>
                  <c:pt idx="0">
                    <c:v>5.971674806953229E-2</c:v>
                  </c:pt>
                  <c:pt idx="1">
                    <c:v>2.2601106167619338E-2</c:v>
                  </c:pt>
                  <c:pt idx="2">
                    <c:v>2.2112439937736404E-2</c:v>
                  </c:pt>
                  <c:pt idx="3">
                    <c:v>1.7232527382830428E-2</c:v>
                  </c:pt>
                  <c:pt idx="4">
                    <c:v>1.448999654934398E-2</c:v>
                  </c:pt>
                  <c:pt idx="5">
                    <c:v>1.2658988901172175E-2</c:v>
                  </c:pt>
                  <c:pt idx="6">
                    <c:v>1.192644121270047E-2</c:v>
                  </c:pt>
                  <c:pt idx="7">
                    <c:v>1.3031116606031899E-2</c:v>
                  </c:pt>
                  <c:pt idx="8">
                    <c:v>2.4831633051412443E-2</c:v>
                  </c:pt>
                  <c:pt idx="9">
                    <c:v>2.9749621846336134E-2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'1-d_analysis'!$B$2:$B$11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34</c:v>
                </c:pt>
                <c:pt idx="9">
                  <c:v>36</c:v>
                </c:pt>
              </c:numCache>
            </c:numRef>
          </c:xVal>
          <c:yVal>
            <c:numRef>
              <c:f>'1-d_analysis'!$Q$2:$Q$11</c:f>
              <c:numCache>
                <c:formatCode>0.000</c:formatCode>
                <c:ptCount val="10"/>
                <c:pt idx="0">
                  <c:v>0.4279</c:v>
                </c:pt>
                <c:pt idx="1">
                  <c:v>0.51970000000000005</c:v>
                </c:pt>
                <c:pt idx="2">
                  <c:v>0.58679999999999999</c:v>
                </c:pt>
                <c:pt idx="3">
                  <c:v>0.60980000000000001</c:v>
                </c:pt>
                <c:pt idx="4">
                  <c:v>0.61820000000000008</c:v>
                </c:pt>
                <c:pt idx="5">
                  <c:v>0.62150000000000005</c:v>
                </c:pt>
                <c:pt idx="6">
                  <c:v>0.61440000000000006</c:v>
                </c:pt>
                <c:pt idx="7">
                  <c:v>0.61029999999999995</c:v>
                </c:pt>
                <c:pt idx="8">
                  <c:v>0.55330000000000001</c:v>
                </c:pt>
                <c:pt idx="9">
                  <c:v>0.38440000000000002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4-4C4A-A9DF-8E0D94010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41168"/>
        <c:axId val="1112509904"/>
      </c:scatterChart>
      <c:valAx>
        <c:axId val="1115441168"/>
        <c:scaling>
          <c:orientation val="minMax"/>
          <c:min val="4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12509904"/>
        <c:crosses val="autoZero"/>
        <c:crossBetween val="midCat"/>
        <c:majorUnit val="4"/>
      </c:valAx>
      <c:valAx>
        <c:axId val="1112509904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154411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'3-d_analysis'!$R$2:$R$11</c:f>
                <c:numCache>
                  <c:formatCode>General</c:formatCode>
                  <c:ptCount val="10"/>
                  <c:pt idx="0">
                    <c:v>2.6104597296261821E-2</c:v>
                  </c:pt>
                  <c:pt idx="1">
                    <c:v>3.8128860460286504E-2</c:v>
                  </c:pt>
                  <c:pt idx="2">
                    <c:v>3.9705918954231492E-2</c:v>
                  </c:pt>
                  <c:pt idx="3">
                    <c:v>2.5566579747787956E-2</c:v>
                  </c:pt>
                  <c:pt idx="4">
                    <c:v>1.0688311372709919E-2</c:v>
                  </c:pt>
                  <c:pt idx="5">
                    <c:v>1.4361058456813007E-2</c:v>
                  </c:pt>
                  <c:pt idx="6">
                    <c:v>2.0016243403795844E-2</c:v>
                  </c:pt>
                  <c:pt idx="7">
                    <c:v>2.6636253490309056E-2</c:v>
                  </c:pt>
                  <c:pt idx="8">
                    <c:v>4.0794117222952626E-2</c:v>
                  </c:pt>
                  <c:pt idx="9">
                    <c:v>0</c:v>
                  </c:pt>
                </c:numCache>
              </c:numRef>
            </c:plus>
            <c:minus>
              <c:numRef>
                <c:f>'3-d_analysis'!$R$2:$R$11</c:f>
                <c:numCache>
                  <c:formatCode>General</c:formatCode>
                  <c:ptCount val="10"/>
                  <c:pt idx="0">
                    <c:v>2.6104597296261821E-2</c:v>
                  </c:pt>
                  <c:pt idx="1">
                    <c:v>3.8128860460286504E-2</c:v>
                  </c:pt>
                  <c:pt idx="2">
                    <c:v>3.9705918954231492E-2</c:v>
                  </c:pt>
                  <c:pt idx="3">
                    <c:v>2.5566579747787956E-2</c:v>
                  </c:pt>
                  <c:pt idx="4">
                    <c:v>1.0688311372709919E-2</c:v>
                  </c:pt>
                  <c:pt idx="5">
                    <c:v>1.4361058456813007E-2</c:v>
                  </c:pt>
                  <c:pt idx="6">
                    <c:v>2.0016243403795844E-2</c:v>
                  </c:pt>
                  <c:pt idx="7">
                    <c:v>2.6636253490309056E-2</c:v>
                  </c:pt>
                  <c:pt idx="8">
                    <c:v>4.0794117222952626E-2</c:v>
                  </c:pt>
                  <c:pt idx="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'3-d_analysis'!$B$2:$B$11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34</c:v>
                </c:pt>
                <c:pt idx="9">
                  <c:v>36</c:v>
                </c:pt>
              </c:numCache>
            </c:numRef>
          </c:xVal>
          <c:yVal>
            <c:numRef>
              <c:f>'3-d_analysis'!$Q$2:$Q$11</c:f>
              <c:numCache>
                <c:formatCode>0.000</c:formatCode>
                <c:ptCount val="10"/>
                <c:pt idx="0">
                  <c:v>0.40250000000000002</c:v>
                </c:pt>
                <c:pt idx="1">
                  <c:v>0.56969999999999987</c:v>
                </c:pt>
                <c:pt idx="2">
                  <c:v>0.59780000000000011</c:v>
                </c:pt>
                <c:pt idx="3">
                  <c:v>0.61849999999999994</c:v>
                </c:pt>
                <c:pt idx="4">
                  <c:v>0.64039999999999986</c:v>
                </c:pt>
                <c:pt idx="5">
                  <c:v>0.62660000000000005</c:v>
                </c:pt>
                <c:pt idx="6">
                  <c:v>0.63449999999999995</c:v>
                </c:pt>
                <c:pt idx="7">
                  <c:v>0.6371</c:v>
                </c:pt>
                <c:pt idx="8">
                  <c:v>3.9199999999999999E-2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6-5C4C-BA51-C6E430467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41168"/>
        <c:axId val="1112509904"/>
      </c:scatterChart>
      <c:valAx>
        <c:axId val="1115441168"/>
        <c:scaling>
          <c:orientation val="minMax"/>
          <c:min val="4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12509904"/>
        <c:crosses val="autoZero"/>
        <c:crossBetween val="midCat"/>
        <c:majorUnit val="4"/>
      </c:valAx>
      <c:valAx>
        <c:axId val="1112509904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154411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'5-d_analysis'!$R$2:$R$11</c:f>
                <c:numCache>
                  <c:formatCode>General</c:formatCode>
                  <c:ptCount val="10"/>
                  <c:pt idx="0">
                    <c:v>3.3575139612516874E-2</c:v>
                  </c:pt>
                  <c:pt idx="1">
                    <c:v>5.3430422045871943E-2</c:v>
                  </c:pt>
                  <c:pt idx="2">
                    <c:v>1.7030560765870291E-2</c:v>
                  </c:pt>
                  <c:pt idx="3">
                    <c:v>1.8740597642551333E-2</c:v>
                  </c:pt>
                  <c:pt idx="4">
                    <c:v>2.9121984822467036E-2</c:v>
                  </c:pt>
                  <c:pt idx="5">
                    <c:v>1.1593532679903923E-2</c:v>
                  </c:pt>
                  <c:pt idx="6">
                    <c:v>1.4688771221582846E-2</c:v>
                  </c:pt>
                  <c:pt idx="7">
                    <c:v>4.0640374014026988E-2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'5-d_analysis'!$R$2:$R$11</c:f>
                <c:numCache>
                  <c:formatCode>General</c:formatCode>
                  <c:ptCount val="10"/>
                  <c:pt idx="0">
                    <c:v>3.3575139612516874E-2</c:v>
                  </c:pt>
                  <c:pt idx="1">
                    <c:v>5.3430422045871943E-2</c:v>
                  </c:pt>
                  <c:pt idx="2">
                    <c:v>1.7030560765870291E-2</c:v>
                  </c:pt>
                  <c:pt idx="3">
                    <c:v>1.8740597642551333E-2</c:v>
                  </c:pt>
                  <c:pt idx="4">
                    <c:v>2.9121984822467036E-2</c:v>
                  </c:pt>
                  <c:pt idx="5">
                    <c:v>1.1593532679903923E-2</c:v>
                  </c:pt>
                  <c:pt idx="6">
                    <c:v>1.4688771221582846E-2</c:v>
                  </c:pt>
                  <c:pt idx="7">
                    <c:v>4.0640374014026988E-2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'5-d_analysis'!$B$2:$B$11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34</c:v>
                </c:pt>
                <c:pt idx="9">
                  <c:v>36</c:v>
                </c:pt>
              </c:numCache>
            </c:numRef>
          </c:xVal>
          <c:yVal>
            <c:numRef>
              <c:f>'5-d_analysis'!$Q$2:$Q$11</c:f>
              <c:numCache>
                <c:formatCode>0.000</c:formatCode>
                <c:ptCount val="10"/>
                <c:pt idx="0">
                  <c:v>0.38590000000000002</c:v>
                </c:pt>
                <c:pt idx="1">
                  <c:v>0.53369999999999995</c:v>
                </c:pt>
                <c:pt idx="2">
                  <c:v>0.60160000000000002</c:v>
                </c:pt>
                <c:pt idx="3">
                  <c:v>0.62129999999999996</c:v>
                </c:pt>
                <c:pt idx="4">
                  <c:v>0.6351</c:v>
                </c:pt>
                <c:pt idx="5">
                  <c:v>0.6046999999999999</c:v>
                </c:pt>
                <c:pt idx="6">
                  <c:v>0.6601999999999999</c:v>
                </c:pt>
                <c:pt idx="7">
                  <c:v>0.61559999999999993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6-3A43-89C9-4600FD427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41168"/>
        <c:axId val="1112509904"/>
      </c:scatterChart>
      <c:valAx>
        <c:axId val="1115441168"/>
        <c:scaling>
          <c:orientation val="minMax"/>
          <c:min val="4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12509904"/>
        <c:crosses val="autoZero"/>
        <c:crossBetween val="midCat"/>
        <c:majorUnit val="4"/>
      </c:valAx>
      <c:valAx>
        <c:axId val="1112509904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154411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'7-d_analysis'!$R$2:$R$11</c:f>
                <c:numCache>
                  <c:formatCode>General</c:formatCode>
                  <c:ptCount val="10"/>
                  <c:pt idx="0">
                    <c:v>3.0271438684013687E-2</c:v>
                  </c:pt>
                  <c:pt idx="1">
                    <c:v>4.7353563751844484E-2</c:v>
                  </c:pt>
                  <c:pt idx="2">
                    <c:v>4.5705141942674242E-2</c:v>
                  </c:pt>
                  <c:pt idx="3">
                    <c:v>1.7945472966740122E-2</c:v>
                  </c:pt>
                  <c:pt idx="4">
                    <c:v>1.9340372281835719E-2</c:v>
                  </c:pt>
                  <c:pt idx="5">
                    <c:v>1.3498518437221135E-2</c:v>
                  </c:pt>
                  <c:pt idx="6">
                    <c:v>1.6371010964506758E-2</c:v>
                  </c:pt>
                  <c:pt idx="7">
                    <c:v>1.5551205741035017E-2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'7-d_analysis'!$R$2:$R$11</c:f>
                <c:numCache>
                  <c:formatCode>General</c:formatCode>
                  <c:ptCount val="10"/>
                  <c:pt idx="0">
                    <c:v>3.0271438684013687E-2</c:v>
                  </c:pt>
                  <c:pt idx="1">
                    <c:v>4.7353563751844484E-2</c:v>
                  </c:pt>
                  <c:pt idx="2">
                    <c:v>4.5705141942674242E-2</c:v>
                  </c:pt>
                  <c:pt idx="3">
                    <c:v>1.7945472966740122E-2</c:v>
                  </c:pt>
                  <c:pt idx="4">
                    <c:v>1.9340372281835719E-2</c:v>
                  </c:pt>
                  <c:pt idx="5">
                    <c:v>1.3498518437221135E-2</c:v>
                  </c:pt>
                  <c:pt idx="6">
                    <c:v>1.6371010964506758E-2</c:v>
                  </c:pt>
                  <c:pt idx="7">
                    <c:v>1.5551205741035017E-2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'7-d_analysis'!$B$2:$B$11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34</c:v>
                </c:pt>
                <c:pt idx="9">
                  <c:v>36</c:v>
                </c:pt>
              </c:numCache>
            </c:numRef>
          </c:xVal>
          <c:yVal>
            <c:numRef>
              <c:f>'7-d_analysis'!$Q$2:$Q$11</c:f>
              <c:numCache>
                <c:formatCode>0.000</c:formatCode>
                <c:ptCount val="10"/>
                <c:pt idx="0">
                  <c:v>0.37120000000000003</c:v>
                </c:pt>
                <c:pt idx="1">
                  <c:v>0.49680000000000007</c:v>
                </c:pt>
                <c:pt idx="2">
                  <c:v>0.5262</c:v>
                </c:pt>
                <c:pt idx="3">
                  <c:v>0.59440000000000004</c:v>
                </c:pt>
                <c:pt idx="4">
                  <c:v>0.58750000000000002</c:v>
                </c:pt>
                <c:pt idx="5">
                  <c:v>0.56430000000000002</c:v>
                </c:pt>
                <c:pt idx="6">
                  <c:v>0.63230000000000008</c:v>
                </c:pt>
                <c:pt idx="7">
                  <c:v>0.62239999999999995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3-104F-A8F9-52E0FCBE8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41168"/>
        <c:axId val="1112509904"/>
      </c:scatterChart>
      <c:valAx>
        <c:axId val="1115441168"/>
        <c:scaling>
          <c:orientation val="minMax"/>
          <c:min val="4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12509904"/>
        <c:crosses val="autoZero"/>
        <c:crossBetween val="midCat"/>
        <c:majorUnit val="4"/>
      </c:valAx>
      <c:valAx>
        <c:axId val="1112509904"/>
        <c:scaling>
          <c:orientation val="minMax"/>
          <c:max val="0.8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154411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11</xdr:col>
      <xdr:colOff>487635</xdr:colOff>
      <xdr:row>29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746CF3C-BB5E-4A44-BEA1-81A445379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190500</xdr:rowOff>
    </xdr:from>
    <xdr:to>
      <xdr:col>12</xdr:col>
      <xdr:colOff>347935</xdr:colOff>
      <xdr:row>30</xdr:row>
      <xdr:rowOff>190500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CC325E6-0FDB-8B45-A1A2-59C6349CE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0</xdr:rowOff>
    </xdr:from>
    <xdr:to>
      <xdr:col>12</xdr:col>
      <xdr:colOff>347935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87222DB-DBA6-FF44-B268-D2F021210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20</xdr:row>
      <xdr:rowOff>127000</xdr:rowOff>
    </xdr:from>
    <xdr:to>
      <xdr:col>12</xdr:col>
      <xdr:colOff>347935</xdr:colOff>
      <xdr:row>36</xdr:row>
      <xdr:rowOff>127000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85D4C1D-6B56-004B-AD40-D13AC262D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_20230604_34c_50umol_1d_2_9" connectionId="36" xr16:uid="{94B4A55A-4F26-9543-9069-C16FDBD9DE1E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429-8c-50umol-1d" connectionId="8" xr16:uid="{524CCB8C-0C2E-C344-9E36-84931A966940}" autoFormatId="2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429-16c-50umol-1d" connectionId="2" xr16:uid="{AA95484C-5A9A-0C4A-A870-5A11B52C4625}" autoFormatId="2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429-20c-50umol-1d" connectionId="3" xr16:uid="{8B30C4F3-A083-E044-A889-FB5EB8EA675B}" autoFormatId="2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429-32c-50umol-1d" connectionId="6" xr16:uid="{321FF7BC-9A52-444C-897F-6D70696D152D}" autoFormatId="2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429-24c-50umol-1d" connectionId="4" xr16:uid="{E2B6C659-292B-1743-BBD3-305127F8190C}" autoFormatId="2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429-28c-50umol-1d" connectionId="5" xr16:uid="{36F2E10B-35C5-564E-A8A7-1506BA4DA217}" autoFormatId="2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429-36c-50umol-1d" connectionId="7" xr16:uid="{A6C826A8-81D0-994F-A48A-8B6F3C9F815D}" autoFormatId="2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429-12c-50umol-1d" connectionId="1" xr16:uid="{952F3651-F82C-EC48-B0F6-24A6B440D380}" autoFormatId="2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1-4c-50umol-1d" connectionId="16" xr16:uid="{A422E443-4B35-934C-839C-BEEC68D434E8}" autoFormatId="2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1-16c-50umol-3d" connectionId="10" xr16:uid="{A2F8691C-383F-C949-BB31-6D58CB5C405F}" autoFormatId="20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1-36c-50umol-3d" connectionId="15" xr16:uid="{321E8ECC-7D63-274F-8497-3D951B699467}" autoFormatId="20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1-8c-50umol-3d" connectionId="17" xr16:uid="{CA3454C0-D842-384D-90FA-A92E18DFBE1D}" autoFormatId="20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1-28c-50umol-3d" connectionId="13" xr16:uid="{DBB245B2-8521-734F-9953-0100769214E4}" autoFormatId="20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1-20c-50umol-3d" connectionId="11" xr16:uid="{213E9107-2CC1-F844-B50B-ED7E06959C71}" autoFormatId="20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1-24c-50umol-3d" connectionId="12" xr16:uid="{F86F6186-EB77-7147-843E-B4669A622143}" autoFormatId="20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1-32c-50umol-3d" connectionId="14" xr16:uid="{F01DB449-3893-BF46-BE69-CDACA8071F25}" autoFormatId="20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1-12c-50umol-3d" connectionId="9" xr16:uid="{706A724C-4B1A-2C40-876B-C52B08321BDB}" autoFormatId="20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3-36c-50umol-5d" connectionId="24" xr16:uid="{D20B8C85-379D-8C46-8780-CF444D5EC303}" autoFormatId="20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3-24c-50umol-5d" connectionId="21" xr16:uid="{BFA70F3E-F1D4-4B4F-8C4D-DBBA244525C2}" autoFormatId="20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3-16c-50umol-5d" connectionId="19" xr16:uid="{49B2A10A-E323-584F-A095-63A0A6801EB6}" autoFormatId="20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3-8c-50umol-5d" connectionId="25" xr16:uid="{BB9B3E53-C0E6-0448-A3DD-3C3A6221866F}" autoFormatId="20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3-28c-50umol-5d" connectionId="22" xr16:uid="{54CD332C-1548-F74D-9D74-259E0357F354}" autoFormatId="20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3-12c-50umol-5d" connectionId="18" xr16:uid="{E4789A6E-1F50-C142-83FC-2EF45E34B59C}" autoFormatId="20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5-4c-50umol-5d" connectionId="33" xr16:uid="{AEE37383-8C12-FC4A-8C3E-E0B5D0940A17}" autoFormatId="20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_20230608_34c_50umol_5d_2_9" connectionId="37" xr16:uid="{AD472B07-4E92-0A42-8978-FBE7CAE1723A}" autoFormatId="20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3-20c-50umol-5d" connectionId="20" xr16:uid="{F6602E9E-8B2C-B249-B894-BCDC4DC961EE}" autoFormatId="20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3-32c-50umol-5d" connectionId="23" xr16:uid="{1509C308-2EC8-264D-938C-62CFA9413F61}" autoFormatId="20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5-20c-50umol-7d" connectionId="28" xr16:uid="{7E852C5F-1C6D-9549-BD77-8355B2E1ACEB}" autoFormatId="20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5-12c-50umol-7d" connectionId="26" xr16:uid="{023CBC5F-99EB-AF4A-9E57-0446F5468746}" autoFormatId="20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5-24c-50umol-7d" connectionId="29" xr16:uid="{3257D834-9BB7-D348-9FF7-8A59454AA392}" autoFormatId="20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5-16c-50umol-7d" connectionId="27" xr16:uid="{B23BABDF-A32C-3345-8F07-4428F777AD90}" autoFormatId="20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7-4c-50umol-7d" connectionId="35" xr16:uid="{D86E7B20-8F4E-0749-A0DD-3E1E2E16E08B}" autoFormatId="20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5-32c-50umol-7d" connectionId="31" xr16:uid="{A8EEB14B-F7C1-524E-B83F-1B67A14DBC9E}" autoFormatId="20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5-28c-50umol-7d" connectionId="30" xr16:uid="{2A8F56D0-EA52-F640-9470-0A8A073CF976}" autoFormatId="20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5-8c-50umol-7d" connectionId="34" xr16:uid="{8BEDC322-AC9A-AA48-A08C-B226263877EE}" autoFormatId="20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05-36c-50umol-7d" connectionId="32" xr16:uid="{743A6DFB-AD40-4642-A88A-B71C12585AF8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7.xml"/><Relationship Id="rId3" Type="http://schemas.openxmlformats.org/officeDocument/2006/relationships/queryTable" Target="../queryTables/queryTable12.xml"/><Relationship Id="rId7" Type="http://schemas.openxmlformats.org/officeDocument/2006/relationships/queryTable" Target="../queryTables/queryTable16.xml"/><Relationship Id="rId2" Type="http://schemas.openxmlformats.org/officeDocument/2006/relationships/queryTable" Target="../queryTables/queryTable11.xml"/><Relationship Id="rId1" Type="http://schemas.openxmlformats.org/officeDocument/2006/relationships/drawing" Target="../drawings/drawing2.xml"/><Relationship Id="rId6" Type="http://schemas.openxmlformats.org/officeDocument/2006/relationships/queryTable" Target="../queryTables/queryTable15.xml"/><Relationship Id="rId5" Type="http://schemas.openxmlformats.org/officeDocument/2006/relationships/queryTable" Target="../queryTables/queryTable14.xml"/><Relationship Id="rId4" Type="http://schemas.openxmlformats.org/officeDocument/2006/relationships/queryTable" Target="../queryTables/queryTable13.xml"/><Relationship Id="rId9" Type="http://schemas.openxmlformats.org/officeDocument/2006/relationships/queryTable" Target="../queryTables/queryTable1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5.xml"/><Relationship Id="rId3" Type="http://schemas.openxmlformats.org/officeDocument/2006/relationships/queryTable" Target="../queryTables/queryTable20.xml"/><Relationship Id="rId7" Type="http://schemas.openxmlformats.org/officeDocument/2006/relationships/queryTable" Target="../queryTables/queryTable24.xml"/><Relationship Id="rId2" Type="http://schemas.openxmlformats.org/officeDocument/2006/relationships/queryTable" Target="../queryTables/queryTable19.xml"/><Relationship Id="rId1" Type="http://schemas.openxmlformats.org/officeDocument/2006/relationships/drawing" Target="../drawings/drawing3.xml"/><Relationship Id="rId6" Type="http://schemas.openxmlformats.org/officeDocument/2006/relationships/queryTable" Target="../queryTables/queryTable23.xml"/><Relationship Id="rId11" Type="http://schemas.openxmlformats.org/officeDocument/2006/relationships/queryTable" Target="../queryTables/queryTable28.xml"/><Relationship Id="rId5" Type="http://schemas.openxmlformats.org/officeDocument/2006/relationships/queryTable" Target="../queryTables/queryTable22.xml"/><Relationship Id="rId10" Type="http://schemas.openxmlformats.org/officeDocument/2006/relationships/queryTable" Target="../queryTables/queryTable27.xml"/><Relationship Id="rId4" Type="http://schemas.openxmlformats.org/officeDocument/2006/relationships/queryTable" Target="../queryTables/queryTable21.xml"/><Relationship Id="rId9" Type="http://schemas.openxmlformats.org/officeDocument/2006/relationships/queryTable" Target="../queryTables/queryTable2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35.xml"/><Relationship Id="rId3" Type="http://schemas.openxmlformats.org/officeDocument/2006/relationships/queryTable" Target="../queryTables/queryTable30.xml"/><Relationship Id="rId7" Type="http://schemas.openxmlformats.org/officeDocument/2006/relationships/queryTable" Target="../queryTables/queryTable34.xml"/><Relationship Id="rId2" Type="http://schemas.openxmlformats.org/officeDocument/2006/relationships/queryTable" Target="../queryTables/queryTable29.xml"/><Relationship Id="rId1" Type="http://schemas.openxmlformats.org/officeDocument/2006/relationships/drawing" Target="../drawings/drawing4.xml"/><Relationship Id="rId6" Type="http://schemas.openxmlformats.org/officeDocument/2006/relationships/queryTable" Target="../queryTables/queryTable33.xml"/><Relationship Id="rId5" Type="http://schemas.openxmlformats.org/officeDocument/2006/relationships/queryTable" Target="../queryTables/queryTable32.xml"/><Relationship Id="rId10" Type="http://schemas.openxmlformats.org/officeDocument/2006/relationships/queryTable" Target="../queryTables/queryTable37.xml"/><Relationship Id="rId4" Type="http://schemas.openxmlformats.org/officeDocument/2006/relationships/queryTable" Target="../queryTables/queryTable31.xml"/><Relationship Id="rId9" Type="http://schemas.openxmlformats.org/officeDocument/2006/relationships/queryTable" Target="../queryTables/query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1117-1CDC-E44A-93F5-BC59C7AB04FC}">
  <dimension ref="A1:R12"/>
  <sheetViews>
    <sheetView workbookViewId="0">
      <selection activeCell="E30" sqref="E30"/>
    </sheetView>
  </sheetViews>
  <sheetFormatPr baseColWidth="10" defaultColWidth="10.6640625" defaultRowHeight="16" x14ac:dyDescent="0.2"/>
  <cols>
    <col min="1" max="3" width="10.6640625" style="1"/>
    <col min="4" max="5" width="8.5" style="1" bestFit="1" customWidth="1"/>
    <col min="6" max="8" width="6.6640625" style="1" bestFit="1" customWidth="1"/>
    <col min="9" max="9" width="5.83203125" style="1" bestFit="1" customWidth="1"/>
    <col min="10" max="14" width="6.6640625" style="1" bestFit="1" customWidth="1"/>
    <col min="15" max="15" width="6.83203125" style="1" bestFit="1" customWidth="1"/>
    <col min="16" max="16" width="6.1640625" style="1" bestFit="1" customWidth="1"/>
    <col min="17" max="18" width="10.6640625" style="1"/>
    <col min="19" max="24" width="6.1640625" style="1" bestFit="1" customWidth="1"/>
    <col min="25" max="25" width="7.1640625" style="1" bestFit="1" customWidth="1"/>
    <col min="26" max="16384" width="10.6640625" style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Q1" s="1" t="s">
        <v>18</v>
      </c>
      <c r="R1" s="1" t="s">
        <v>19</v>
      </c>
    </row>
    <row r="2" spans="1:18" x14ac:dyDescent="0.2">
      <c r="A2" s="1" t="s">
        <v>20</v>
      </c>
      <c r="B2" s="1">
        <v>4</v>
      </c>
      <c r="C2" s="1">
        <v>50</v>
      </c>
      <c r="D2" s="1" t="s">
        <v>17</v>
      </c>
      <c r="E2" s="2">
        <v>0.5665162037037037</v>
      </c>
      <c r="F2" s="1">
        <v>0.33900000000000002</v>
      </c>
      <c r="G2" s="1">
        <v>0.47899999999999998</v>
      </c>
      <c r="H2" s="1">
        <v>0.32900000000000001</v>
      </c>
      <c r="I2" s="1">
        <v>0.45400000000000001</v>
      </c>
      <c r="J2" s="1">
        <v>0.46700000000000003</v>
      </c>
      <c r="K2" s="1">
        <v>0.51300000000000001</v>
      </c>
      <c r="L2" s="1">
        <v>0.378</v>
      </c>
      <c r="M2" s="1">
        <v>0.432</v>
      </c>
      <c r="N2" s="1">
        <v>0.48199999999999998</v>
      </c>
      <c r="O2" s="1">
        <v>0.40600000000000003</v>
      </c>
      <c r="Q2" s="3">
        <f t="shared" ref="Q2:Q11" si="0">AVERAGE(F2:O2)</f>
        <v>0.4279</v>
      </c>
      <c r="R2" s="3">
        <f t="shared" ref="R2:R11" si="1">_xlfn.STDEV.P(F2:O2)</f>
        <v>5.971674806953229E-2</v>
      </c>
    </row>
    <row r="3" spans="1:18" x14ac:dyDescent="0.2">
      <c r="A3" s="1" t="s">
        <v>20</v>
      </c>
      <c r="B3" s="1">
        <v>8</v>
      </c>
      <c r="C3" s="1">
        <v>50</v>
      </c>
      <c r="D3" s="1" t="s">
        <v>21</v>
      </c>
      <c r="E3" s="2">
        <v>0.31398148148148147</v>
      </c>
      <c r="F3" s="1">
        <v>0.55300000000000005</v>
      </c>
      <c r="G3" s="1">
        <v>0.55200000000000005</v>
      </c>
      <c r="H3" s="1">
        <v>0.51100000000000001</v>
      </c>
      <c r="I3" s="1">
        <v>0.53300000000000003</v>
      </c>
      <c r="J3" s="1">
        <v>0.51600000000000001</v>
      </c>
      <c r="K3" s="1">
        <v>0.53100000000000003</v>
      </c>
      <c r="L3" s="1">
        <v>0.48199999999999998</v>
      </c>
      <c r="M3" s="1">
        <v>0.5</v>
      </c>
      <c r="N3" s="1">
        <v>0.52600000000000002</v>
      </c>
      <c r="O3" s="1">
        <v>0.49299999999999999</v>
      </c>
      <c r="Q3" s="3">
        <f t="shared" si="0"/>
        <v>0.51970000000000005</v>
      </c>
      <c r="R3" s="3">
        <f t="shared" si="1"/>
        <v>2.2601106167619338E-2</v>
      </c>
    </row>
    <row r="4" spans="1:18" x14ac:dyDescent="0.2">
      <c r="A4" s="1" t="s">
        <v>20</v>
      </c>
      <c r="B4" s="1">
        <v>12</v>
      </c>
      <c r="C4" s="1">
        <v>50</v>
      </c>
      <c r="D4" s="1" t="s">
        <v>21</v>
      </c>
      <c r="E4" s="2">
        <v>0.31152777777777779</v>
      </c>
      <c r="F4" s="1">
        <v>0.60899999999999999</v>
      </c>
      <c r="G4" s="1">
        <v>0.59299999999999997</v>
      </c>
      <c r="H4" s="1">
        <v>0.56200000000000006</v>
      </c>
      <c r="I4" s="1">
        <v>0.56699999999999995</v>
      </c>
      <c r="J4" s="1">
        <v>0.58099999999999996</v>
      </c>
      <c r="K4" s="1">
        <v>0.56799999999999995</v>
      </c>
      <c r="L4" s="1">
        <v>0.56200000000000006</v>
      </c>
      <c r="M4" s="1">
        <v>0.58399999999999996</v>
      </c>
      <c r="N4" s="1">
        <v>0.622</v>
      </c>
      <c r="O4" s="1">
        <v>0.62</v>
      </c>
      <c r="Q4" s="3">
        <f t="shared" si="0"/>
        <v>0.58679999999999999</v>
      </c>
      <c r="R4" s="3">
        <f t="shared" si="1"/>
        <v>2.2112439937736404E-2</v>
      </c>
    </row>
    <row r="5" spans="1:18" x14ac:dyDescent="0.2">
      <c r="A5" s="1" t="s">
        <v>20</v>
      </c>
      <c r="B5" s="1">
        <v>16</v>
      </c>
      <c r="C5" s="1">
        <v>50</v>
      </c>
      <c r="D5" s="1" t="s">
        <v>21</v>
      </c>
      <c r="E5" s="2">
        <v>0.3062037037037037</v>
      </c>
      <c r="F5" s="1">
        <v>0.60199999999999998</v>
      </c>
      <c r="G5" s="1">
        <v>0.60599999999999998</v>
      </c>
      <c r="H5" s="1">
        <v>0.60399999999999998</v>
      </c>
      <c r="I5" s="1">
        <v>0.61799999999999999</v>
      </c>
      <c r="J5" s="1">
        <v>0.6</v>
      </c>
      <c r="K5" s="1">
        <v>0.60899999999999999</v>
      </c>
      <c r="L5" s="1">
        <v>0.57799999999999996</v>
      </c>
      <c r="M5" s="1">
        <v>0.60399999999999998</v>
      </c>
      <c r="N5" s="1">
        <v>0.63700000000000001</v>
      </c>
      <c r="O5" s="1">
        <v>0.64</v>
      </c>
      <c r="Q5" s="3">
        <f t="shared" si="0"/>
        <v>0.60980000000000001</v>
      </c>
      <c r="R5" s="3">
        <f t="shared" si="1"/>
        <v>1.7232527382830428E-2</v>
      </c>
    </row>
    <row r="6" spans="1:18" x14ac:dyDescent="0.2">
      <c r="A6" s="1" t="s">
        <v>20</v>
      </c>
      <c r="B6" s="1">
        <v>20</v>
      </c>
      <c r="C6" s="1">
        <v>50</v>
      </c>
      <c r="D6" s="1" t="s">
        <v>21</v>
      </c>
      <c r="E6" s="2">
        <v>0.302650462962963</v>
      </c>
      <c r="F6" s="1">
        <v>0.64700000000000002</v>
      </c>
      <c r="G6" s="1">
        <v>0.64400000000000002</v>
      </c>
      <c r="H6" s="1">
        <v>0.60499999999999998</v>
      </c>
      <c r="I6" s="1">
        <v>0.60699999999999998</v>
      </c>
      <c r="J6" s="1">
        <v>0.60499999999999998</v>
      </c>
      <c r="K6" s="1">
        <v>0.61099999999999999</v>
      </c>
      <c r="L6" s="1">
        <v>0.61299999999999999</v>
      </c>
      <c r="M6" s="1">
        <v>0.61299999999999999</v>
      </c>
      <c r="N6" s="1">
        <v>0.622</v>
      </c>
      <c r="O6" s="1">
        <v>0.61499999999999999</v>
      </c>
      <c r="Q6" s="3">
        <f t="shared" si="0"/>
        <v>0.61820000000000008</v>
      </c>
      <c r="R6" s="3">
        <f t="shared" si="1"/>
        <v>1.448999654934398E-2</v>
      </c>
    </row>
    <row r="7" spans="1:18" x14ac:dyDescent="0.2">
      <c r="A7" s="1" t="s">
        <v>20</v>
      </c>
      <c r="B7" s="1">
        <v>24</v>
      </c>
      <c r="C7" s="1">
        <v>50</v>
      </c>
      <c r="D7" s="1" t="s">
        <v>21</v>
      </c>
      <c r="E7" s="2">
        <v>0.31693287037037038</v>
      </c>
      <c r="F7" s="1">
        <v>0.64</v>
      </c>
      <c r="G7" s="1">
        <v>0.64700000000000002</v>
      </c>
      <c r="H7" s="1">
        <v>0.60099999999999998</v>
      </c>
      <c r="I7" s="1">
        <v>0.61199999999999999</v>
      </c>
      <c r="J7" s="1">
        <v>0.61599999999999999</v>
      </c>
      <c r="K7" s="1">
        <v>0.624</v>
      </c>
      <c r="L7" s="1">
        <v>0.623</v>
      </c>
      <c r="M7" s="1">
        <v>0.61899999999999999</v>
      </c>
      <c r="N7" s="1">
        <v>0.61499999999999999</v>
      </c>
      <c r="O7" s="1">
        <v>0.61799999999999999</v>
      </c>
      <c r="Q7" s="3">
        <f t="shared" si="0"/>
        <v>0.62150000000000005</v>
      </c>
      <c r="R7" s="3">
        <f t="shared" si="1"/>
        <v>1.2658988901172175E-2</v>
      </c>
    </row>
    <row r="8" spans="1:18" x14ac:dyDescent="0.2">
      <c r="A8" s="1" t="s">
        <v>20</v>
      </c>
      <c r="B8" s="1">
        <v>28</v>
      </c>
      <c r="C8" s="1">
        <v>50</v>
      </c>
      <c r="D8" s="1" t="s">
        <v>21</v>
      </c>
      <c r="E8" s="2">
        <v>0.31942129629629629</v>
      </c>
      <c r="F8" s="1">
        <v>0.623</v>
      </c>
      <c r="G8" s="1">
        <v>0.60299999999999998</v>
      </c>
      <c r="H8" s="1">
        <v>0.63800000000000001</v>
      </c>
      <c r="I8" s="1">
        <v>0.624</v>
      </c>
      <c r="J8" s="1">
        <v>0.62</v>
      </c>
      <c r="K8" s="1">
        <v>0.61</v>
      </c>
      <c r="L8" s="1">
        <v>0.60799999999999998</v>
      </c>
      <c r="M8" s="1">
        <v>0.59299999999999997</v>
      </c>
      <c r="N8" s="1">
        <v>0.61</v>
      </c>
      <c r="O8" s="1">
        <v>0.61499999999999999</v>
      </c>
      <c r="Q8" s="3">
        <f t="shared" si="0"/>
        <v>0.61440000000000006</v>
      </c>
      <c r="R8" s="3">
        <f t="shared" si="1"/>
        <v>1.192644121270047E-2</v>
      </c>
    </row>
    <row r="9" spans="1:18" x14ac:dyDescent="0.2">
      <c r="A9" s="1" t="s">
        <v>20</v>
      </c>
      <c r="B9" s="1">
        <v>32</v>
      </c>
      <c r="C9" s="1">
        <v>50</v>
      </c>
      <c r="D9" s="1" t="s">
        <v>21</v>
      </c>
      <c r="E9" s="2">
        <v>0.32248842592592591</v>
      </c>
      <c r="F9" s="1">
        <v>0.63100000000000001</v>
      </c>
      <c r="G9" s="1">
        <v>0.627</v>
      </c>
      <c r="H9" s="1">
        <v>0.60699999999999998</v>
      </c>
      <c r="I9" s="1">
        <v>0.60199999999999998</v>
      </c>
      <c r="J9" s="1">
        <v>0.61699999999999999</v>
      </c>
      <c r="K9" s="1">
        <v>0.62</v>
      </c>
      <c r="L9" s="1">
        <v>0.61099999999999999</v>
      </c>
      <c r="M9" s="1">
        <v>0.60599999999999998</v>
      </c>
      <c r="N9" s="1">
        <v>0.58899999999999997</v>
      </c>
      <c r="O9" s="1">
        <v>0.59299999999999997</v>
      </c>
      <c r="Q9" s="3">
        <f t="shared" si="0"/>
        <v>0.61029999999999995</v>
      </c>
      <c r="R9" s="3">
        <f t="shared" si="1"/>
        <v>1.3031116606031899E-2</v>
      </c>
    </row>
    <row r="10" spans="1:18" x14ac:dyDescent="0.2">
      <c r="A10" s="1" t="s">
        <v>20</v>
      </c>
      <c r="B10" s="1">
        <v>34</v>
      </c>
      <c r="C10" s="1">
        <v>50</v>
      </c>
      <c r="D10" s="1" t="s">
        <v>28</v>
      </c>
      <c r="E10" s="2">
        <v>0.44634259259259257</v>
      </c>
      <c r="F10" s="1">
        <v>0.58899999999999997</v>
      </c>
      <c r="G10" s="1">
        <v>0.58799999999999997</v>
      </c>
      <c r="H10" s="1">
        <v>0.56399999999999995</v>
      </c>
      <c r="I10" s="1">
        <v>0.505</v>
      </c>
      <c r="J10" s="1">
        <v>0.54</v>
      </c>
      <c r="K10" s="1">
        <v>0.53800000000000003</v>
      </c>
      <c r="L10" s="1">
        <v>0.55600000000000005</v>
      </c>
      <c r="M10" s="1">
        <v>0.54900000000000004</v>
      </c>
      <c r="N10" s="1">
        <v>0.53200000000000003</v>
      </c>
      <c r="O10" s="1">
        <v>0.57199999999999995</v>
      </c>
      <c r="Q10" s="3">
        <f t="shared" si="0"/>
        <v>0.55330000000000001</v>
      </c>
      <c r="R10" s="3">
        <f t="shared" si="1"/>
        <v>2.4831633051412443E-2</v>
      </c>
    </row>
    <row r="11" spans="1:18" x14ac:dyDescent="0.2">
      <c r="A11" s="1" t="s">
        <v>20</v>
      </c>
      <c r="B11" s="1">
        <v>36</v>
      </c>
      <c r="C11" s="1">
        <v>50</v>
      </c>
      <c r="D11" s="1" t="s">
        <v>21</v>
      </c>
      <c r="E11" s="2">
        <v>0.32505787037037037</v>
      </c>
      <c r="F11" s="1">
        <v>0.39</v>
      </c>
      <c r="G11" s="1">
        <v>0.38200000000000001</v>
      </c>
      <c r="H11" s="1">
        <v>0.38600000000000001</v>
      </c>
      <c r="I11" s="1">
        <v>0.44900000000000001</v>
      </c>
      <c r="J11" s="1">
        <v>0.32600000000000001</v>
      </c>
      <c r="K11" s="1">
        <v>0.40100000000000002</v>
      </c>
      <c r="L11" s="1">
        <v>0.35499999999999998</v>
      </c>
      <c r="M11" s="1">
        <v>0.378</v>
      </c>
      <c r="N11" s="1">
        <v>0.39100000000000001</v>
      </c>
      <c r="O11" s="1">
        <v>0.38600000000000001</v>
      </c>
      <c r="Q11" s="3">
        <f t="shared" si="0"/>
        <v>0.38440000000000002</v>
      </c>
      <c r="R11" s="3">
        <f t="shared" si="1"/>
        <v>2.9749621846336134E-2</v>
      </c>
    </row>
    <row r="12" spans="1:18" x14ac:dyDescent="0.2">
      <c r="Q12" s="3"/>
      <c r="R12" s="3"/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1FDB-69B2-C14C-8D6F-9C6035F62D0F}">
  <dimension ref="A1:R11"/>
  <sheetViews>
    <sheetView tabSelected="1" workbookViewId="0">
      <selection activeCell="Q48" sqref="Q48"/>
    </sheetView>
  </sheetViews>
  <sheetFormatPr baseColWidth="10" defaultColWidth="10.6640625" defaultRowHeight="16" x14ac:dyDescent="0.2"/>
  <cols>
    <col min="1" max="3" width="10.6640625" style="1"/>
    <col min="4" max="5" width="8.5" style="1" bestFit="1" customWidth="1"/>
    <col min="6" max="14" width="5.83203125" style="1" bestFit="1" customWidth="1"/>
    <col min="15" max="15" width="6.83203125" style="1" bestFit="1" customWidth="1"/>
    <col min="16" max="16384" width="10.6640625" style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Q1" s="1" t="s">
        <v>18</v>
      </c>
      <c r="R1" s="1" t="s">
        <v>19</v>
      </c>
    </row>
    <row r="2" spans="1:18" x14ac:dyDescent="0.2">
      <c r="A2" s="1" t="s">
        <v>3</v>
      </c>
      <c r="B2" s="1">
        <v>4</v>
      </c>
      <c r="C2" s="1">
        <v>50</v>
      </c>
      <c r="D2" s="1" t="s">
        <v>22</v>
      </c>
      <c r="E2" s="2">
        <v>0.52805555555555561</v>
      </c>
      <c r="F2" s="1">
        <v>0.433</v>
      </c>
      <c r="G2" s="1">
        <v>0.40899999999999997</v>
      </c>
      <c r="H2" s="1">
        <v>0.41499999999999998</v>
      </c>
      <c r="I2" s="1">
        <v>0.38700000000000001</v>
      </c>
      <c r="J2" s="1">
        <v>0.35699999999999998</v>
      </c>
      <c r="K2" s="1">
        <v>0.379</v>
      </c>
      <c r="L2" s="1">
        <v>0.38300000000000001</v>
      </c>
      <c r="M2" s="1">
        <v>0.45</v>
      </c>
      <c r="N2" s="1">
        <v>0.41499999999999998</v>
      </c>
      <c r="O2" s="1">
        <v>0.39700000000000002</v>
      </c>
      <c r="Q2" s="3">
        <f t="shared" ref="Q2:Q10" si="0">AVERAGE(F2:O2)</f>
        <v>0.40250000000000002</v>
      </c>
      <c r="R2" s="3">
        <f t="shared" ref="R2:R10" si="1">_xlfn.STDEV.P(F2:O2)</f>
        <v>2.6104597296261821E-2</v>
      </c>
    </row>
    <row r="3" spans="1:18" x14ac:dyDescent="0.2">
      <c r="A3" s="1" t="s">
        <v>3</v>
      </c>
      <c r="B3" s="1">
        <v>8</v>
      </c>
      <c r="C3" s="1">
        <v>50</v>
      </c>
      <c r="D3" s="1" t="s">
        <v>17</v>
      </c>
      <c r="E3" s="2">
        <v>0.56401620370370364</v>
      </c>
      <c r="F3" s="1">
        <v>0.6</v>
      </c>
      <c r="G3" s="1">
        <v>0.55400000000000005</v>
      </c>
      <c r="H3" s="1">
        <v>0.621</v>
      </c>
      <c r="I3" s="1">
        <v>0.61099999999999999</v>
      </c>
      <c r="J3" s="1">
        <v>0.58899999999999997</v>
      </c>
      <c r="K3" s="1">
        <v>0.57799999999999996</v>
      </c>
      <c r="L3" s="1">
        <v>0.56899999999999995</v>
      </c>
      <c r="M3" s="1">
        <v>0.56499999999999995</v>
      </c>
      <c r="N3" s="1">
        <v>0.495</v>
      </c>
      <c r="O3" s="1">
        <v>0.51500000000000001</v>
      </c>
      <c r="Q3" s="3">
        <f t="shared" si="0"/>
        <v>0.56969999999999987</v>
      </c>
      <c r="R3" s="3">
        <f t="shared" si="1"/>
        <v>3.8128860460286504E-2</v>
      </c>
    </row>
    <row r="4" spans="1:18" x14ac:dyDescent="0.2">
      <c r="A4" s="1" t="s">
        <v>3</v>
      </c>
      <c r="B4" s="1">
        <v>12</v>
      </c>
      <c r="C4" s="1">
        <v>50</v>
      </c>
      <c r="D4" s="1" t="s">
        <v>17</v>
      </c>
      <c r="E4" s="2">
        <v>0.56145833333333328</v>
      </c>
      <c r="F4" s="1">
        <v>0.628</v>
      </c>
      <c r="G4" s="1">
        <v>0.63100000000000001</v>
      </c>
      <c r="H4" s="1">
        <v>0.628</v>
      </c>
      <c r="I4" s="1">
        <v>0.64200000000000002</v>
      </c>
      <c r="J4" s="1">
        <v>0.59299999999999997</v>
      </c>
      <c r="K4" s="1">
        <v>0.60099999999999998</v>
      </c>
      <c r="L4" s="1">
        <v>0.51300000000000001</v>
      </c>
      <c r="M4" s="1">
        <v>0.54100000000000004</v>
      </c>
      <c r="N4" s="1">
        <v>0.61499999999999999</v>
      </c>
      <c r="O4" s="1">
        <v>0.58599999999999997</v>
      </c>
      <c r="Q4" s="3">
        <f t="shared" si="0"/>
        <v>0.59780000000000011</v>
      </c>
      <c r="R4" s="3">
        <f t="shared" si="1"/>
        <v>3.9705918954231492E-2</v>
      </c>
    </row>
    <row r="5" spans="1:18" x14ac:dyDescent="0.2">
      <c r="A5" s="1" t="s">
        <v>3</v>
      </c>
      <c r="B5" s="1">
        <v>16</v>
      </c>
      <c r="C5" s="1">
        <v>50</v>
      </c>
      <c r="D5" s="1" t="s">
        <v>17</v>
      </c>
      <c r="E5" s="2">
        <v>0.5588657407407408</v>
      </c>
      <c r="F5" s="1">
        <v>0.65</v>
      </c>
      <c r="G5" s="1">
        <v>0.63900000000000001</v>
      </c>
      <c r="H5" s="1">
        <v>0.621</v>
      </c>
      <c r="I5" s="1">
        <v>0.60899999999999999</v>
      </c>
      <c r="J5" s="1">
        <v>0.627</v>
      </c>
      <c r="K5" s="1">
        <v>0.60499999999999998</v>
      </c>
      <c r="L5" s="1">
        <v>0.65200000000000002</v>
      </c>
      <c r="M5" s="1">
        <v>0.629</v>
      </c>
      <c r="N5" s="1">
        <v>0.57899999999999996</v>
      </c>
      <c r="O5" s="1">
        <v>0.57399999999999995</v>
      </c>
      <c r="Q5" s="3">
        <f t="shared" si="0"/>
        <v>0.61849999999999994</v>
      </c>
      <c r="R5" s="3">
        <f t="shared" si="1"/>
        <v>2.5566579747787956E-2</v>
      </c>
    </row>
    <row r="6" spans="1:18" x14ac:dyDescent="0.2">
      <c r="A6" s="1" t="s">
        <v>3</v>
      </c>
      <c r="B6" s="1">
        <v>20</v>
      </c>
      <c r="C6" s="1">
        <v>50</v>
      </c>
      <c r="D6" s="1" t="s">
        <v>17</v>
      </c>
      <c r="E6" s="2">
        <v>0.55581018518518521</v>
      </c>
      <c r="F6" s="1">
        <v>0.63300000000000001</v>
      </c>
      <c r="G6" s="1">
        <v>0.61799999999999999</v>
      </c>
      <c r="H6" s="1">
        <v>0.64</v>
      </c>
      <c r="I6" s="1">
        <v>0.629</v>
      </c>
      <c r="J6" s="1">
        <v>0.64500000000000002</v>
      </c>
      <c r="K6" s="1">
        <v>0.65400000000000003</v>
      </c>
      <c r="L6" s="1">
        <v>0.64</v>
      </c>
      <c r="M6" s="1">
        <v>0.65400000000000003</v>
      </c>
      <c r="N6" s="1">
        <v>0.64800000000000002</v>
      </c>
      <c r="O6" s="1">
        <v>0.64300000000000002</v>
      </c>
      <c r="Q6" s="3">
        <f t="shared" si="0"/>
        <v>0.64039999999999986</v>
      </c>
      <c r="R6" s="3">
        <f t="shared" si="1"/>
        <v>1.0688311372709919E-2</v>
      </c>
    </row>
    <row r="7" spans="1:18" x14ac:dyDescent="0.2">
      <c r="A7" s="1" t="s">
        <v>3</v>
      </c>
      <c r="B7" s="1">
        <v>24</v>
      </c>
      <c r="C7" s="1">
        <v>50</v>
      </c>
      <c r="D7" s="1" t="s">
        <v>17</v>
      </c>
      <c r="E7" s="2">
        <v>0.56917824074074075</v>
      </c>
      <c r="F7" s="1">
        <v>0.64300000000000002</v>
      </c>
      <c r="G7" s="1">
        <v>0.63900000000000001</v>
      </c>
      <c r="H7" s="1">
        <v>0.628</v>
      </c>
      <c r="I7" s="1">
        <v>0.60399999999999998</v>
      </c>
      <c r="J7" s="1">
        <v>0.64700000000000002</v>
      </c>
      <c r="K7" s="1">
        <v>0.64100000000000001</v>
      </c>
      <c r="L7" s="1">
        <v>0.61099999999999999</v>
      </c>
      <c r="M7" s="1">
        <v>0.61899999999999999</v>
      </c>
      <c r="N7" s="1">
        <v>0.61399999999999999</v>
      </c>
      <c r="O7" s="1">
        <v>0.62</v>
      </c>
      <c r="Q7" s="3">
        <f t="shared" si="0"/>
        <v>0.62660000000000005</v>
      </c>
      <c r="R7" s="3">
        <f t="shared" si="1"/>
        <v>1.4361058456813007E-2</v>
      </c>
    </row>
    <row r="8" spans="1:18" x14ac:dyDescent="0.2">
      <c r="A8" s="1" t="s">
        <v>3</v>
      </c>
      <c r="B8" s="1">
        <v>28</v>
      </c>
      <c r="C8" s="1">
        <v>50</v>
      </c>
      <c r="D8" s="1" t="s">
        <v>17</v>
      </c>
      <c r="E8" s="2">
        <v>0.57162037037037039</v>
      </c>
      <c r="F8" s="1">
        <v>0.66</v>
      </c>
      <c r="G8" s="1">
        <v>0.66</v>
      </c>
      <c r="H8" s="1">
        <v>0.63300000000000001</v>
      </c>
      <c r="I8" s="1">
        <v>0.64200000000000002</v>
      </c>
      <c r="J8" s="1">
        <v>0.63</v>
      </c>
      <c r="K8" s="1">
        <v>0.60899999999999999</v>
      </c>
      <c r="L8" s="1">
        <v>0.66100000000000003</v>
      </c>
      <c r="M8" s="1">
        <v>0.628</v>
      </c>
      <c r="N8" s="1">
        <v>0.61899999999999999</v>
      </c>
      <c r="O8" s="1">
        <v>0.60299999999999998</v>
      </c>
      <c r="Q8" s="3">
        <f t="shared" si="0"/>
        <v>0.63449999999999995</v>
      </c>
      <c r="R8" s="3">
        <f t="shared" si="1"/>
        <v>2.0016243403795844E-2</v>
      </c>
    </row>
    <row r="9" spans="1:18" x14ac:dyDescent="0.2">
      <c r="A9" s="1" t="s">
        <v>3</v>
      </c>
      <c r="B9" s="1">
        <v>32</v>
      </c>
      <c r="C9" s="1">
        <v>50</v>
      </c>
      <c r="D9" s="1" t="s">
        <v>17</v>
      </c>
      <c r="E9" s="2">
        <v>0.57428240740740744</v>
      </c>
      <c r="F9" s="1">
        <v>0.66200000000000003</v>
      </c>
      <c r="G9" s="1">
        <v>0.66</v>
      </c>
      <c r="H9" s="1">
        <v>0.65600000000000003</v>
      </c>
      <c r="I9" s="1">
        <v>0.64900000000000002</v>
      </c>
      <c r="J9" s="1">
        <v>0.58199999999999996</v>
      </c>
      <c r="K9" s="1">
        <v>0.65400000000000003</v>
      </c>
      <c r="L9" s="1">
        <v>0.65</v>
      </c>
      <c r="M9" s="1">
        <v>0.64100000000000001</v>
      </c>
      <c r="N9" s="1">
        <v>0.621</v>
      </c>
      <c r="O9" s="1">
        <v>0.59599999999999997</v>
      </c>
      <c r="Q9" s="3">
        <f t="shared" si="0"/>
        <v>0.6371</v>
      </c>
      <c r="R9" s="3">
        <f t="shared" si="1"/>
        <v>2.6636253490309056E-2</v>
      </c>
    </row>
    <row r="10" spans="1:18" x14ac:dyDescent="0.2">
      <c r="A10" s="1" t="s">
        <v>3</v>
      </c>
      <c r="B10" s="1">
        <v>34</v>
      </c>
      <c r="C10" s="1">
        <v>50</v>
      </c>
      <c r="D10" s="1" t="s">
        <v>29</v>
      </c>
      <c r="E10" s="2">
        <v>0.6752083333333333</v>
      </c>
      <c r="F10" s="1">
        <v>9.7000000000000003E-2</v>
      </c>
      <c r="G10" s="1">
        <v>0</v>
      </c>
      <c r="H10" s="1">
        <v>0</v>
      </c>
      <c r="I10" s="1">
        <v>0</v>
      </c>
      <c r="J10" s="1">
        <v>7.0000000000000007E-2</v>
      </c>
      <c r="K10" s="1">
        <v>5.7000000000000002E-2</v>
      </c>
      <c r="L10" s="1">
        <v>0</v>
      </c>
      <c r="M10" s="1">
        <v>0</v>
      </c>
      <c r="N10" s="1">
        <v>9.7000000000000003E-2</v>
      </c>
      <c r="O10" s="1">
        <v>7.0999999999999994E-2</v>
      </c>
      <c r="Q10" s="3">
        <f t="shared" si="0"/>
        <v>3.9199999999999999E-2</v>
      </c>
      <c r="R10" s="3">
        <f t="shared" si="1"/>
        <v>4.0794117222952626E-2</v>
      </c>
    </row>
    <row r="11" spans="1:18" x14ac:dyDescent="0.2">
      <c r="A11" s="1" t="s">
        <v>3</v>
      </c>
      <c r="B11" s="1">
        <v>36</v>
      </c>
      <c r="C11" s="1">
        <v>50</v>
      </c>
      <c r="D11" s="1" t="s">
        <v>17</v>
      </c>
      <c r="E11" s="2">
        <v>0.58620370370370367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Q11" s="3">
        <f t="shared" ref="Q11" si="2">AVERAGE(F11:O11)</f>
        <v>0</v>
      </c>
      <c r="R11" s="3">
        <f t="shared" ref="R11" si="3">_xlfn.STDEV.P(F11:O11)</f>
        <v>0</v>
      </c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6BE8-A44E-BC4F-900F-505BE7F99B56}">
  <dimension ref="A1:R12"/>
  <sheetViews>
    <sheetView workbookViewId="0">
      <selection activeCell="P21" sqref="P21"/>
    </sheetView>
  </sheetViews>
  <sheetFormatPr baseColWidth="10" defaultColWidth="10.6640625" defaultRowHeight="16" x14ac:dyDescent="0.2"/>
  <cols>
    <col min="1" max="3" width="10.6640625" style="1"/>
    <col min="4" max="5" width="8.5" style="1" bestFit="1" customWidth="1"/>
    <col min="6" max="14" width="5.83203125" style="1" bestFit="1" customWidth="1"/>
    <col min="15" max="15" width="6.83203125" style="1" bestFit="1" customWidth="1"/>
    <col min="16" max="16384" width="10.6640625" style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Q1" s="1" t="s">
        <v>18</v>
      </c>
      <c r="R1" s="1" t="s">
        <v>19</v>
      </c>
    </row>
    <row r="2" spans="1:18" x14ac:dyDescent="0.2">
      <c r="A2" s="1" t="s">
        <v>23</v>
      </c>
      <c r="B2" s="1">
        <v>4</v>
      </c>
      <c r="C2" s="1">
        <v>50</v>
      </c>
      <c r="D2" s="1" t="s">
        <v>24</v>
      </c>
      <c r="E2" s="2">
        <v>0.66658564814814814</v>
      </c>
      <c r="F2" s="1">
        <v>0.38</v>
      </c>
      <c r="G2" s="1">
        <v>0.36099999999999999</v>
      </c>
      <c r="H2" s="1">
        <v>0.39700000000000002</v>
      </c>
      <c r="I2" s="1">
        <v>0.36799999999999999</v>
      </c>
      <c r="J2" s="1">
        <v>0.33700000000000002</v>
      </c>
      <c r="K2" s="1">
        <v>0.38900000000000001</v>
      </c>
      <c r="L2" s="1">
        <v>0.44600000000000001</v>
      </c>
      <c r="M2" s="1">
        <v>0.44400000000000001</v>
      </c>
      <c r="N2" s="1">
        <v>0.35899999999999999</v>
      </c>
      <c r="O2" s="1">
        <v>0.378</v>
      </c>
      <c r="Q2" s="3">
        <f t="shared" ref="Q2:Q11" si="0">AVERAGE(F2:O2)</f>
        <v>0.38590000000000002</v>
      </c>
      <c r="R2" s="3">
        <f t="shared" ref="R2:R11" si="1">_xlfn.STDEV.P(F2:O2)</f>
        <v>3.3575139612516874E-2</v>
      </c>
    </row>
    <row r="3" spans="1:18" x14ac:dyDescent="0.2">
      <c r="A3" s="1" t="s">
        <v>23</v>
      </c>
      <c r="B3" s="1">
        <v>8</v>
      </c>
      <c r="C3" s="1">
        <v>50</v>
      </c>
      <c r="D3" s="1" t="s">
        <v>22</v>
      </c>
      <c r="E3" s="2">
        <v>0.52603009259259259</v>
      </c>
      <c r="F3" s="1">
        <v>0.61499999999999999</v>
      </c>
      <c r="G3" s="1">
        <v>0.60099999999999998</v>
      </c>
      <c r="H3" s="1">
        <v>0.498</v>
      </c>
      <c r="I3" s="1">
        <v>0.54900000000000004</v>
      </c>
      <c r="J3" s="1">
        <v>0.54100000000000004</v>
      </c>
      <c r="K3" s="1">
        <v>0.51600000000000001</v>
      </c>
      <c r="L3" s="1">
        <v>0.58199999999999996</v>
      </c>
      <c r="M3" s="1">
        <v>0.53</v>
      </c>
      <c r="N3" s="1">
        <v>0.45200000000000001</v>
      </c>
      <c r="O3" s="1">
        <v>0.45300000000000001</v>
      </c>
      <c r="Q3" s="3">
        <f t="shared" si="0"/>
        <v>0.53369999999999995</v>
      </c>
      <c r="R3" s="3">
        <f t="shared" si="1"/>
        <v>5.3430422045871943E-2</v>
      </c>
    </row>
    <row r="4" spans="1:18" x14ac:dyDescent="0.2">
      <c r="A4" s="1" t="s">
        <v>23</v>
      </c>
      <c r="B4" s="1">
        <v>12</v>
      </c>
      <c r="C4" s="1">
        <v>50</v>
      </c>
      <c r="D4" s="1" t="s">
        <v>22</v>
      </c>
      <c r="E4" s="2">
        <v>0.5239583333333333</v>
      </c>
      <c r="F4" s="1">
        <v>0.621</v>
      </c>
      <c r="G4" s="1">
        <v>0.60799999999999998</v>
      </c>
      <c r="H4" s="1">
        <v>0.60899999999999999</v>
      </c>
      <c r="I4" s="1">
        <v>0.60399999999999998</v>
      </c>
      <c r="J4" s="1">
        <v>0.58299999999999996</v>
      </c>
      <c r="K4" s="1">
        <v>0.56999999999999995</v>
      </c>
      <c r="L4" s="1">
        <v>0.58699999999999997</v>
      </c>
      <c r="M4" s="1">
        <v>0.59499999999999997</v>
      </c>
      <c r="N4" s="1">
        <v>0.61</v>
      </c>
      <c r="O4" s="1">
        <v>0.629</v>
      </c>
      <c r="Q4" s="3">
        <f t="shared" si="0"/>
        <v>0.60160000000000002</v>
      </c>
      <c r="R4" s="3">
        <f t="shared" si="1"/>
        <v>1.7030560765870291E-2</v>
      </c>
    </row>
    <row r="5" spans="1:18" x14ac:dyDescent="0.2">
      <c r="A5" s="1" t="s">
        <v>23</v>
      </c>
      <c r="B5" s="1">
        <v>16</v>
      </c>
      <c r="C5" s="1">
        <v>50</v>
      </c>
      <c r="D5" s="1" t="s">
        <v>22</v>
      </c>
      <c r="E5" s="2">
        <v>0.52152777777777781</v>
      </c>
      <c r="F5" s="1">
        <v>0.64400000000000002</v>
      </c>
      <c r="G5" s="1">
        <v>0.64600000000000002</v>
      </c>
      <c r="H5" s="1">
        <v>0.61</v>
      </c>
      <c r="I5" s="1">
        <v>0.58099999999999996</v>
      </c>
      <c r="J5" s="1">
        <v>0.622</v>
      </c>
      <c r="K5" s="1">
        <v>0.6</v>
      </c>
      <c r="L5" s="1">
        <v>0.63</v>
      </c>
      <c r="M5" s="1">
        <v>0.624</v>
      </c>
      <c r="N5" s="1">
        <v>0.626</v>
      </c>
      <c r="O5" s="1">
        <v>0.63</v>
      </c>
      <c r="Q5" s="3">
        <f t="shared" si="0"/>
        <v>0.62129999999999996</v>
      </c>
      <c r="R5" s="3">
        <f t="shared" si="1"/>
        <v>1.8740597642551333E-2</v>
      </c>
    </row>
    <row r="6" spans="1:18" x14ac:dyDescent="0.2">
      <c r="A6" s="1" t="s">
        <v>23</v>
      </c>
      <c r="B6" s="1">
        <v>20</v>
      </c>
      <c r="C6" s="1">
        <v>50</v>
      </c>
      <c r="D6" s="1" t="s">
        <v>22</v>
      </c>
      <c r="E6" s="2">
        <v>0.51891203703703703</v>
      </c>
      <c r="F6" s="1">
        <v>0.68899999999999995</v>
      </c>
      <c r="G6" s="1">
        <v>0.67800000000000005</v>
      </c>
      <c r="H6" s="1">
        <v>0.60399999999999998</v>
      </c>
      <c r="I6" s="1">
        <v>0.60099999999999998</v>
      </c>
      <c r="J6" s="1">
        <v>0.65</v>
      </c>
      <c r="K6" s="1">
        <v>0.65300000000000002</v>
      </c>
      <c r="L6" s="1">
        <v>0.622</v>
      </c>
      <c r="M6" s="1">
        <v>0.61499999999999999</v>
      </c>
      <c r="N6" s="1">
        <v>0.62</v>
      </c>
      <c r="O6" s="1">
        <v>0.61899999999999999</v>
      </c>
      <c r="Q6" s="3">
        <f t="shared" si="0"/>
        <v>0.6351</v>
      </c>
      <c r="R6" s="3">
        <f t="shared" si="1"/>
        <v>2.9121984822467036E-2</v>
      </c>
    </row>
    <row r="7" spans="1:18" x14ac:dyDescent="0.2">
      <c r="A7" s="1" t="s">
        <v>23</v>
      </c>
      <c r="B7" s="1">
        <v>24</v>
      </c>
      <c r="C7" s="1">
        <v>50</v>
      </c>
      <c r="D7" s="1" t="s">
        <v>22</v>
      </c>
      <c r="E7" s="2">
        <v>0.53053240740740748</v>
      </c>
      <c r="F7" s="1">
        <v>0.60399999999999998</v>
      </c>
      <c r="G7" s="1">
        <v>0.59599999999999997</v>
      </c>
      <c r="H7" s="1">
        <v>0.59099999999999997</v>
      </c>
      <c r="I7" s="1">
        <v>0.60699999999999998</v>
      </c>
      <c r="J7" s="1">
        <v>0.60399999999999998</v>
      </c>
      <c r="K7" s="1">
        <v>0.625</v>
      </c>
      <c r="L7" s="1">
        <v>0.58399999999999996</v>
      </c>
      <c r="M7" s="1">
        <v>0.61499999999999999</v>
      </c>
      <c r="N7" s="1">
        <v>0.61599999999999999</v>
      </c>
      <c r="O7" s="1">
        <v>0.60499999999999998</v>
      </c>
      <c r="Q7" s="3">
        <f t="shared" si="0"/>
        <v>0.6046999999999999</v>
      </c>
      <c r="R7" s="3">
        <f>_xlfn.STDEV.P(F7:O7)</f>
        <v>1.1593532679903923E-2</v>
      </c>
    </row>
    <row r="8" spans="1:18" x14ac:dyDescent="0.2">
      <c r="A8" s="1" t="s">
        <v>23</v>
      </c>
      <c r="B8" s="1">
        <v>28</v>
      </c>
      <c r="C8" s="1">
        <v>50</v>
      </c>
      <c r="D8" s="1" t="s">
        <v>22</v>
      </c>
      <c r="E8" s="2">
        <v>0.53234953703703702</v>
      </c>
      <c r="F8" s="1">
        <v>0.67900000000000005</v>
      </c>
      <c r="G8" s="1">
        <v>0.67800000000000005</v>
      </c>
      <c r="H8" s="1">
        <v>0.66700000000000004</v>
      </c>
      <c r="I8" s="1">
        <v>0.67400000000000004</v>
      </c>
      <c r="J8" s="1">
        <v>0.66</v>
      </c>
      <c r="K8" s="1">
        <v>0.63200000000000001</v>
      </c>
      <c r="L8" s="1">
        <v>0.66500000000000004</v>
      </c>
      <c r="M8" s="1">
        <v>0.65300000000000002</v>
      </c>
      <c r="N8" s="1">
        <v>0.65100000000000002</v>
      </c>
      <c r="O8" s="1">
        <v>0.64300000000000002</v>
      </c>
      <c r="Q8" s="3">
        <f t="shared" si="0"/>
        <v>0.6601999999999999</v>
      </c>
      <c r="R8" s="3">
        <f t="shared" si="1"/>
        <v>1.4688771221582846E-2</v>
      </c>
    </row>
    <row r="9" spans="1:18" x14ac:dyDescent="0.2">
      <c r="A9" s="1" t="s">
        <v>23</v>
      </c>
      <c r="B9" s="1">
        <v>32</v>
      </c>
      <c r="C9" s="1">
        <v>50</v>
      </c>
      <c r="D9" s="1" t="s">
        <v>22</v>
      </c>
      <c r="E9" s="2">
        <v>0.53438657407407408</v>
      </c>
      <c r="F9" s="1">
        <v>0.66700000000000004</v>
      </c>
      <c r="G9" s="1">
        <v>0.64300000000000002</v>
      </c>
      <c r="H9" s="1">
        <v>0.628</v>
      </c>
      <c r="I9" s="1">
        <v>0.63300000000000001</v>
      </c>
      <c r="J9" s="1">
        <v>0.54500000000000004</v>
      </c>
      <c r="K9" s="1">
        <v>0.53700000000000003</v>
      </c>
      <c r="L9" s="1">
        <v>0.61799999999999999</v>
      </c>
      <c r="M9" s="1">
        <v>0.60299999999999998</v>
      </c>
      <c r="N9" s="1">
        <v>0.63600000000000001</v>
      </c>
      <c r="O9" s="1">
        <v>0.64600000000000002</v>
      </c>
      <c r="Q9" s="3">
        <f t="shared" si="0"/>
        <v>0.61559999999999993</v>
      </c>
      <c r="R9" s="3">
        <f t="shared" si="1"/>
        <v>4.0640374014026988E-2</v>
      </c>
    </row>
    <row r="10" spans="1:18" x14ac:dyDescent="0.2">
      <c r="A10" s="1" t="s">
        <v>23</v>
      </c>
      <c r="B10" s="1">
        <v>34</v>
      </c>
      <c r="C10" s="1">
        <v>50</v>
      </c>
      <c r="D10" s="1" t="s">
        <v>30</v>
      </c>
      <c r="E10" s="2">
        <v>0.46747685185185189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Q10" s="3">
        <f t="shared" si="0"/>
        <v>0</v>
      </c>
      <c r="R10" s="3">
        <f t="shared" si="1"/>
        <v>0</v>
      </c>
    </row>
    <row r="11" spans="1:18" x14ac:dyDescent="0.2">
      <c r="A11" s="1" t="s">
        <v>23</v>
      </c>
      <c r="B11" s="1">
        <v>36</v>
      </c>
      <c r="C11" s="1">
        <v>50</v>
      </c>
      <c r="D11" s="1" t="s">
        <v>22</v>
      </c>
      <c r="E11" s="2">
        <v>0.53870370370370368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Q11" s="3">
        <f t="shared" si="0"/>
        <v>0</v>
      </c>
      <c r="R11" s="3">
        <f t="shared" si="1"/>
        <v>0</v>
      </c>
    </row>
    <row r="12" spans="1:18" x14ac:dyDescent="0.2">
      <c r="Q12" s="3"/>
      <c r="R12" s="3"/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5EAD-1A24-C94E-A57E-AAE4B03953F7}">
  <dimension ref="A1:R12"/>
  <sheetViews>
    <sheetView workbookViewId="0">
      <selection activeCell="R23" sqref="R23"/>
    </sheetView>
  </sheetViews>
  <sheetFormatPr baseColWidth="10" defaultColWidth="10.6640625" defaultRowHeight="16" x14ac:dyDescent="0.2"/>
  <cols>
    <col min="1" max="3" width="10.6640625" style="1"/>
    <col min="4" max="5" width="8.5" style="1" bestFit="1" customWidth="1"/>
    <col min="6" max="14" width="5.83203125" style="1" bestFit="1" customWidth="1"/>
    <col min="15" max="15" width="6.83203125" style="1" bestFit="1" customWidth="1"/>
    <col min="16" max="16384" width="10.6640625" style="1"/>
  </cols>
  <sheetData>
    <row r="1" spans="1:18" x14ac:dyDescent="0.2">
      <c r="A1" s="4" t="s">
        <v>4</v>
      </c>
      <c r="B1" s="4" t="s">
        <v>25</v>
      </c>
      <c r="C1" s="4" t="s">
        <v>6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Q1" s="1" t="s">
        <v>18</v>
      </c>
      <c r="R1" s="1" t="s">
        <v>19</v>
      </c>
    </row>
    <row r="2" spans="1:18" x14ac:dyDescent="0.2">
      <c r="A2" s="4" t="s">
        <v>26</v>
      </c>
      <c r="B2" s="4">
        <v>4</v>
      </c>
      <c r="C2" s="4">
        <v>50</v>
      </c>
      <c r="D2" s="1" t="s">
        <v>27</v>
      </c>
      <c r="E2" s="2">
        <v>0.55504629629629632</v>
      </c>
      <c r="F2" s="1">
        <v>0.38600000000000001</v>
      </c>
      <c r="G2" s="1">
        <v>0.40100000000000002</v>
      </c>
      <c r="H2" s="1">
        <v>0.33700000000000002</v>
      </c>
      <c r="I2" s="1">
        <v>0.35</v>
      </c>
      <c r="J2" s="1">
        <v>0.33200000000000002</v>
      </c>
      <c r="K2" s="1">
        <v>0.34499999999999997</v>
      </c>
      <c r="L2" s="1">
        <v>0.40300000000000002</v>
      </c>
      <c r="M2" s="1">
        <v>0.34699999999999998</v>
      </c>
      <c r="N2" s="1">
        <v>0.41699999999999998</v>
      </c>
      <c r="O2" s="1">
        <v>0.39400000000000002</v>
      </c>
      <c r="Q2" s="3">
        <f t="shared" ref="Q2:Q11" si="0">AVERAGE(F2:O2)</f>
        <v>0.37120000000000003</v>
      </c>
      <c r="R2" s="3">
        <f t="shared" ref="R2:R11" si="1">_xlfn.STDEV.P(F2:O2)</f>
        <v>3.0271438684013687E-2</v>
      </c>
    </row>
    <row r="3" spans="1:18" x14ac:dyDescent="0.2">
      <c r="A3" s="4" t="s">
        <v>26</v>
      </c>
      <c r="B3" s="4">
        <v>8</v>
      </c>
      <c r="C3" s="4">
        <v>50</v>
      </c>
      <c r="D3" s="1" t="s">
        <v>24</v>
      </c>
      <c r="E3" s="2">
        <v>0.66442129629629632</v>
      </c>
      <c r="F3" s="1">
        <v>0.48699999999999999</v>
      </c>
      <c r="G3" s="1">
        <v>0.45</v>
      </c>
      <c r="H3" s="1">
        <v>0.57899999999999996</v>
      </c>
      <c r="I3" s="1">
        <v>0.56100000000000005</v>
      </c>
      <c r="J3" s="1">
        <v>0.49099999999999999</v>
      </c>
      <c r="K3" s="1">
        <v>0.51500000000000001</v>
      </c>
      <c r="L3" s="1">
        <v>0.498</v>
      </c>
      <c r="M3" s="1">
        <v>0.51900000000000002</v>
      </c>
      <c r="N3" s="1">
        <v>0.45</v>
      </c>
      <c r="O3" s="1">
        <v>0.41799999999999998</v>
      </c>
      <c r="Q3" s="3">
        <f t="shared" si="0"/>
        <v>0.49680000000000007</v>
      </c>
      <c r="R3" s="3">
        <f t="shared" si="1"/>
        <v>4.7353563751844484E-2</v>
      </c>
    </row>
    <row r="4" spans="1:18" x14ac:dyDescent="0.2">
      <c r="A4" s="4" t="s">
        <v>26</v>
      </c>
      <c r="B4" s="4">
        <v>12</v>
      </c>
      <c r="C4" s="4">
        <v>50</v>
      </c>
      <c r="D4" s="1" t="s">
        <v>24</v>
      </c>
      <c r="E4" s="2">
        <v>0.6617939814814815</v>
      </c>
      <c r="F4" s="1">
        <v>0.49</v>
      </c>
      <c r="G4" s="1">
        <v>0.49399999999999999</v>
      </c>
      <c r="H4" s="1">
        <v>0.59799999999999998</v>
      </c>
      <c r="I4" s="1">
        <v>0.6</v>
      </c>
      <c r="J4" s="1">
        <v>0.48299999999999998</v>
      </c>
      <c r="K4" s="1">
        <v>0.501</v>
      </c>
      <c r="L4" s="1">
        <v>0.56100000000000005</v>
      </c>
      <c r="M4" s="1">
        <v>0.55700000000000005</v>
      </c>
      <c r="N4" s="1">
        <v>0.505</v>
      </c>
      <c r="O4" s="1">
        <v>0.47299999999999998</v>
      </c>
      <c r="Q4" s="3">
        <f t="shared" si="0"/>
        <v>0.5262</v>
      </c>
      <c r="R4" s="3">
        <f t="shared" si="1"/>
        <v>4.5705141942674242E-2</v>
      </c>
    </row>
    <row r="5" spans="1:18" x14ac:dyDescent="0.2">
      <c r="A5" s="4" t="s">
        <v>26</v>
      </c>
      <c r="B5" s="4">
        <v>16</v>
      </c>
      <c r="C5" s="4">
        <v>50</v>
      </c>
      <c r="D5" s="1" t="s">
        <v>24</v>
      </c>
      <c r="E5" s="2">
        <v>0.6598032407407407</v>
      </c>
      <c r="F5" s="1">
        <v>0.60499999999999998</v>
      </c>
      <c r="G5" s="1">
        <v>0.60899999999999999</v>
      </c>
      <c r="H5" s="1">
        <v>0.57199999999999995</v>
      </c>
      <c r="I5" s="1">
        <v>0.58599999999999997</v>
      </c>
      <c r="J5" s="1">
        <v>0.60399999999999998</v>
      </c>
      <c r="K5" s="1">
        <v>0.625</v>
      </c>
      <c r="L5" s="1">
        <v>0.57799999999999996</v>
      </c>
      <c r="M5" s="1">
        <v>0.56499999999999995</v>
      </c>
      <c r="N5" s="1">
        <v>0.59299999999999997</v>
      </c>
      <c r="O5" s="1">
        <v>0.60699999999999998</v>
      </c>
      <c r="Q5" s="3">
        <f t="shared" si="0"/>
        <v>0.59440000000000004</v>
      </c>
      <c r="R5" s="3">
        <f t="shared" si="1"/>
        <v>1.7945472966740122E-2</v>
      </c>
    </row>
    <row r="6" spans="1:18" x14ac:dyDescent="0.2">
      <c r="A6" s="4" t="s">
        <v>26</v>
      </c>
      <c r="B6" s="4">
        <v>20</v>
      </c>
      <c r="C6" s="4">
        <v>50</v>
      </c>
      <c r="D6" s="1" t="s">
        <v>24</v>
      </c>
      <c r="E6" s="2">
        <v>0.6566319444444445</v>
      </c>
      <c r="F6" s="1">
        <v>0.55300000000000005</v>
      </c>
      <c r="G6" s="1">
        <v>0.57399999999999995</v>
      </c>
      <c r="H6" s="1">
        <v>0.59799999999999998</v>
      </c>
      <c r="I6" s="1">
        <v>0.60599999999999998</v>
      </c>
      <c r="J6" s="1">
        <v>0.61</v>
      </c>
      <c r="K6" s="1">
        <v>0.60699999999999998</v>
      </c>
      <c r="L6" s="1">
        <v>0.57699999999999996</v>
      </c>
      <c r="M6" s="1">
        <v>0.59</v>
      </c>
      <c r="N6" s="1">
        <v>0.6</v>
      </c>
      <c r="O6" s="1">
        <v>0.56000000000000005</v>
      </c>
      <c r="Q6" s="3">
        <f t="shared" si="0"/>
        <v>0.58750000000000002</v>
      </c>
      <c r="R6" s="3">
        <f t="shared" si="1"/>
        <v>1.9340372281835719E-2</v>
      </c>
    </row>
    <row r="7" spans="1:18" x14ac:dyDescent="0.2">
      <c r="A7" s="4" t="s">
        <v>26</v>
      </c>
      <c r="B7" s="4">
        <v>24</v>
      </c>
      <c r="C7" s="4">
        <v>50</v>
      </c>
      <c r="D7" s="1" t="s">
        <v>24</v>
      </c>
      <c r="E7" s="2">
        <v>0.66979166666666667</v>
      </c>
      <c r="F7" s="1">
        <v>0.58499999999999996</v>
      </c>
      <c r="G7" s="1">
        <v>0.54600000000000004</v>
      </c>
      <c r="H7" s="1">
        <v>0.57899999999999996</v>
      </c>
      <c r="I7" s="1">
        <v>0.55500000000000005</v>
      </c>
      <c r="J7" s="1">
        <v>0.55100000000000005</v>
      </c>
      <c r="K7" s="1">
        <v>0.56699999999999995</v>
      </c>
      <c r="L7" s="1">
        <v>0.55300000000000005</v>
      </c>
      <c r="M7" s="1">
        <v>0.55400000000000005</v>
      </c>
      <c r="N7" s="1">
        <v>0.57199999999999995</v>
      </c>
      <c r="O7" s="1">
        <v>0.58099999999999996</v>
      </c>
      <c r="Q7" s="3">
        <f t="shared" si="0"/>
        <v>0.56430000000000002</v>
      </c>
      <c r="R7" s="3">
        <f>_xlfn.STDEV.P(F7:O7)</f>
        <v>1.3498518437221135E-2</v>
      </c>
    </row>
    <row r="8" spans="1:18" x14ac:dyDescent="0.2">
      <c r="A8" s="4" t="s">
        <v>26</v>
      </c>
      <c r="B8" s="4">
        <v>28</v>
      </c>
      <c r="C8" s="4">
        <v>50</v>
      </c>
      <c r="D8" s="1" t="s">
        <v>24</v>
      </c>
      <c r="E8" s="2">
        <v>0.67266203703703698</v>
      </c>
      <c r="F8" s="1">
        <v>0.63300000000000001</v>
      </c>
      <c r="G8" s="1">
        <v>0.64500000000000002</v>
      </c>
      <c r="H8" s="1">
        <v>0.65600000000000003</v>
      </c>
      <c r="I8" s="1">
        <v>0.63500000000000001</v>
      </c>
      <c r="J8" s="1">
        <v>0.61</v>
      </c>
      <c r="K8" s="1">
        <v>0.61799999999999999</v>
      </c>
      <c r="L8" s="1">
        <v>0.61499999999999999</v>
      </c>
      <c r="M8" s="1">
        <v>0.61299999999999999</v>
      </c>
      <c r="N8" s="1">
        <v>0.65200000000000002</v>
      </c>
      <c r="O8" s="1">
        <v>0.64600000000000002</v>
      </c>
      <c r="Q8" s="3">
        <f t="shared" si="0"/>
        <v>0.63230000000000008</v>
      </c>
      <c r="R8" s="3">
        <f t="shared" si="1"/>
        <v>1.6371010964506758E-2</v>
      </c>
    </row>
    <row r="9" spans="1:18" x14ac:dyDescent="0.2">
      <c r="A9" s="4" t="s">
        <v>26</v>
      </c>
      <c r="B9" s="4">
        <v>32</v>
      </c>
      <c r="C9" s="4">
        <v>50</v>
      </c>
      <c r="D9" s="1" t="s">
        <v>24</v>
      </c>
      <c r="E9" s="2">
        <v>0.67499999999999993</v>
      </c>
      <c r="F9" s="1">
        <v>0.622</v>
      </c>
      <c r="G9" s="1">
        <v>0.61899999999999999</v>
      </c>
      <c r="H9" s="1">
        <v>0.64</v>
      </c>
      <c r="I9" s="1">
        <v>0.65</v>
      </c>
      <c r="J9" s="1">
        <v>0.6</v>
      </c>
      <c r="K9" s="1">
        <v>0.61199999999999999</v>
      </c>
      <c r="L9" s="1">
        <v>0.61599999999999999</v>
      </c>
      <c r="M9" s="1">
        <v>0.61099999999999999</v>
      </c>
      <c r="N9" s="1">
        <v>0.64300000000000002</v>
      </c>
      <c r="O9" s="1">
        <v>0.61099999999999999</v>
      </c>
      <c r="Q9" s="3">
        <f t="shared" si="0"/>
        <v>0.62239999999999995</v>
      </c>
      <c r="R9" s="3">
        <f t="shared" si="1"/>
        <v>1.5551205741035017E-2</v>
      </c>
    </row>
    <row r="10" spans="1:18" x14ac:dyDescent="0.2">
      <c r="A10" s="1" t="s">
        <v>23</v>
      </c>
      <c r="B10" s="1">
        <v>34</v>
      </c>
      <c r="C10" s="1">
        <v>50</v>
      </c>
      <c r="D10" s="1" t="s">
        <v>31</v>
      </c>
      <c r="E10" s="2">
        <v>0.68915509259259267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Q10" s="3">
        <f t="shared" si="0"/>
        <v>0</v>
      </c>
      <c r="R10" s="3">
        <f t="shared" si="1"/>
        <v>0</v>
      </c>
    </row>
    <row r="11" spans="1:18" x14ac:dyDescent="0.2">
      <c r="A11" s="4" t="s">
        <v>26</v>
      </c>
      <c r="B11" s="4">
        <v>36</v>
      </c>
      <c r="C11" s="4">
        <v>50</v>
      </c>
      <c r="D11" s="1" t="s">
        <v>24</v>
      </c>
      <c r="E11" s="2">
        <v>0.67877314814814815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Q11" s="3">
        <f t="shared" si="0"/>
        <v>0</v>
      </c>
      <c r="R11" s="3">
        <f t="shared" si="1"/>
        <v>0</v>
      </c>
    </row>
    <row r="12" spans="1:18" x14ac:dyDescent="0.2">
      <c r="Q12" s="3"/>
      <c r="R12" s="3"/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37</vt:i4>
      </vt:variant>
    </vt:vector>
  </HeadingPairs>
  <TitlesOfParts>
    <vt:vector size="41" baseType="lpstr">
      <vt:lpstr>1-d_analysis</vt:lpstr>
      <vt:lpstr>3-d_analysis</vt:lpstr>
      <vt:lpstr>5-d_analysis</vt:lpstr>
      <vt:lpstr>7-d_analysis</vt:lpstr>
      <vt:lpstr>'1-d_analysis'!yabure_20230429_12c_50umol_1d</vt:lpstr>
      <vt:lpstr>'1-d_analysis'!yabure_20230429_16c_50umol_1d</vt:lpstr>
      <vt:lpstr>'1-d_analysis'!yabure_20230429_20c_50umol_1d</vt:lpstr>
      <vt:lpstr>'1-d_analysis'!yabure_20230429_24c_50umol_1d</vt:lpstr>
      <vt:lpstr>'1-d_analysis'!yabure_20230429_28c_50umol_1d</vt:lpstr>
      <vt:lpstr>'1-d_analysis'!yabure_20230429_32c_50umol_1d</vt:lpstr>
      <vt:lpstr>'1-d_analysis'!yabure_20230429_36c_50umol_1d</vt:lpstr>
      <vt:lpstr>'1-d_analysis'!yabure_20230429_8c_50umol_1d</vt:lpstr>
      <vt:lpstr>'3-d_analysis'!yabure_20230501_12c_50umol_3d</vt:lpstr>
      <vt:lpstr>'3-d_analysis'!yabure_20230501_16c_50umol_3d</vt:lpstr>
      <vt:lpstr>'3-d_analysis'!yabure_20230501_20c_50umol_3d</vt:lpstr>
      <vt:lpstr>'3-d_analysis'!yabure_20230501_24c_50umol_3d</vt:lpstr>
      <vt:lpstr>'3-d_analysis'!yabure_20230501_28c_50umol_3d</vt:lpstr>
      <vt:lpstr>'3-d_analysis'!yabure_20230501_32c_50umol_3d</vt:lpstr>
      <vt:lpstr>'3-d_analysis'!yabure_20230501_36c_50umol_3d</vt:lpstr>
      <vt:lpstr>'1-d_analysis'!yabure_20230501_4c_50umol_1d</vt:lpstr>
      <vt:lpstr>'3-d_analysis'!yabure_20230501_8c_50umol_3d</vt:lpstr>
      <vt:lpstr>'5-d_analysis'!yabure_20230503_12c_50umol_5d</vt:lpstr>
      <vt:lpstr>'5-d_analysis'!yabure_20230503_16c_50umol_5d</vt:lpstr>
      <vt:lpstr>'5-d_analysis'!yabure_20230503_20c_50umol_5d</vt:lpstr>
      <vt:lpstr>'5-d_analysis'!yabure_20230503_24c_50umol_5d</vt:lpstr>
      <vt:lpstr>'5-d_analysis'!yabure_20230503_28c_50umol_5d</vt:lpstr>
      <vt:lpstr>'5-d_analysis'!yabure_20230503_32c_50umol_5d</vt:lpstr>
      <vt:lpstr>'5-d_analysis'!yabure_20230503_36c_50umol_5d</vt:lpstr>
      <vt:lpstr>'5-d_analysis'!yabure_20230503_8c_50umol_5d</vt:lpstr>
      <vt:lpstr>'7-d_analysis'!yabure_20230505_12c_50umol_7d</vt:lpstr>
      <vt:lpstr>'7-d_analysis'!yabure_20230505_16c_50umol_7d</vt:lpstr>
      <vt:lpstr>'7-d_analysis'!yabure_20230505_20c_50umol_7d</vt:lpstr>
      <vt:lpstr>'7-d_analysis'!yabure_20230505_24c_50umol_7d</vt:lpstr>
      <vt:lpstr>'7-d_analysis'!yabure_20230505_28c_50umol_7d</vt:lpstr>
      <vt:lpstr>'7-d_analysis'!yabure_20230505_32c_50umol_7d</vt:lpstr>
      <vt:lpstr>'7-d_analysis'!yabure_20230505_36c_50umol_7d</vt:lpstr>
      <vt:lpstr>'5-d_analysis'!yabure_20230505_4c_50umol_5d</vt:lpstr>
      <vt:lpstr>'7-d_analysis'!yabure_20230505_8c_50umol_7d</vt:lpstr>
      <vt:lpstr>'7-d_analysis'!yabure_20230507_4c_50umol_7d</vt:lpstr>
      <vt:lpstr>'1-d_analysis'!yabure_20230604_34c_50umol_1d_2_9</vt:lpstr>
      <vt:lpstr>'5-d_analysis'!yabure_20230608_34c_50umol_5d_2_9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Ryuta Terada</dc:creator>
  <cp:lastModifiedBy>寺田　竜太</cp:lastModifiedBy>
  <dcterms:created xsi:type="dcterms:W3CDTF">2023-05-01T05:13:52Z</dcterms:created>
  <dcterms:modified xsi:type="dcterms:W3CDTF">2026-01-14T01:05:19Z</dcterms:modified>
</cp:coreProperties>
</file>