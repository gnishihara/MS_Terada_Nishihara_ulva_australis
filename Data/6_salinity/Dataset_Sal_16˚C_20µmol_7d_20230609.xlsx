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xl/queryTables/queryTable5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radaryuuta/Desktop/Uva_asustralis_study_2026/"/>
    </mc:Choice>
  </mc:AlternateContent>
  <xr:revisionPtr revIDLastSave="0" documentId="13_ncr:1_{5C3FAB86-BB82-2C48-9907-887A84EF29AA}" xr6:coauthVersionLast="47" xr6:coauthVersionMax="47" xr10:uidLastSave="{00000000-0000-0000-0000-000000000000}"/>
  <bookViews>
    <workbookView xWindow="22900" yWindow="6160" windowWidth="28300" windowHeight="17440" activeTab="3" xr2:uid="{E889BAAD-C186-1B4B-8E93-DA334C7E2FB7}"/>
  </bookViews>
  <sheets>
    <sheet name="1d_analysis" sheetId="6" r:id="rId1"/>
    <sheet name="3d_analysis" sheetId="2" r:id="rId2"/>
    <sheet name="5d_analysis" sheetId="8" r:id="rId3"/>
    <sheet name="7d_analysis" sheetId="10" r:id="rId4"/>
  </sheets>
  <definedNames>
    <definedName name="yabure_20230511_0psu_1d" localSheetId="0">'1d_analysis'!$B$1:$M$2</definedName>
    <definedName name="yabure_20230511_100psu_1d" localSheetId="0">'1d_analysis'!$B$14:$M$14</definedName>
    <definedName name="yabure_20230511_10psu_1d" localSheetId="0">'1d_analysis'!$B$4:$M$4</definedName>
    <definedName name="yabure_20230511_20psu_1d" localSheetId="0">'1d_analysis'!$B$5:$M$5</definedName>
    <definedName name="yabure_20230511_30psu_1d" localSheetId="0">'1d_analysis'!$B$6:$M$6</definedName>
    <definedName name="yabure_20230511_34psu_1d" localSheetId="0">'1d_analysis'!$B$7:$M$7</definedName>
    <definedName name="yabure_20230511_40psu_1d" localSheetId="0">'1d_analysis'!$B$8:$M$8</definedName>
    <definedName name="yabure_20230511_50psu_1d" localSheetId="0">'1d_analysis'!$B$9:$M$9</definedName>
    <definedName name="yabure_20230511_5psu_1d" localSheetId="0">'1d_analysis'!$B$3:$M$3</definedName>
    <definedName name="yabure_20230511_60psu_1d" localSheetId="0">'1d_analysis'!$B$10:$M$10</definedName>
    <definedName name="yabure_20230511_70psu_1d" localSheetId="0">'1d_analysis'!$B$11:$M$11</definedName>
    <definedName name="yabure_20230511_80psu_1d" localSheetId="0">'1d_analysis'!$B$12:$M$12</definedName>
    <definedName name="yabure_20230511_90psu_1d" localSheetId="0">'1d_analysis'!$B$13:$M$13</definedName>
    <definedName name="yabure_20230513_0psu_3d" localSheetId="1">'3d_analysis'!$B$1:$M$2</definedName>
    <definedName name="yabure_20230513_100psu_3d" localSheetId="1">'3d_analysis'!$B$14:$M$14</definedName>
    <definedName name="yabure_20230513_10psu_3d" localSheetId="1">'3d_analysis'!$B$4:$M$4</definedName>
    <definedName name="yabure_20230513_20psu_3d" localSheetId="1">'3d_analysis'!$B$5:$M$5</definedName>
    <definedName name="yabure_20230513_30psu_3d" localSheetId="1">'3d_analysis'!$B$6:$M$6</definedName>
    <definedName name="yabure_20230513_34psu_3d" localSheetId="1">'3d_analysis'!$B$7:$M$7</definedName>
    <definedName name="yabure_20230513_40psu_3d" localSheetId="1">'3d_analysis'!$B$8:$M$8</definedName>
    <definedName name="yabure_20230513_50psu_3d" localSheetId="1">'3d_analysis'!$B$9:$M$9</definedName>
    <definedName name="yabure_20230513_5psu_3d" localSheetId="1">'3d_analysis'!$B$3:$M$3</definedName>
    <definedName name="yabure_20230513_60psu_3d" localSheetId="1">'3d_analysis'!$B$10:$M$10</definedName>
    <definedName name="yabure_20230513_70psu_3d" localSheetId="1">'3d_analysis'!$B$11:$M$11</definedName>
    <definedName name="yabure_20230513_80psu_3d" localSheetId="1">'3d_analysis'!$B$12:$M$12</definedName>
    <definedName name="yabure_20230513_90psu_3d" localSheetId="1">'3d_analysis'!$B$13:$M$13</definedName>
    <definedName name="yabure_20230515_0psu_5d" localSheetId="2">'5d_analysis'!$B$1:$M$2</definedName>
    <definedName name="yabure_20230515_100psu_5d" localSheetId="2">'5d_analysis'!$B$14:$M$14</definedName>
    <definedName name="yabure_20230515_10psu_5d" localSheetId="2">'5d_analysis'!$B$4:$M$4</definedName>
    <definedName name="yabure_20230515_20psu_5d" localSheetId="2">'5d_analysis'!$B$5:$M$5</definedName>
    <definedName name="yabure_20230515_30psu_5d" localSheetId="2">'5d_analysis'!$B$6:$M$6</definedName>
    <definedName name="yabure_20230515_34psu_5d" localSheetId="2">'5d_analysis'!$B$7:$M$7</definedName>
    <definedName name="yabure_20230515_40psu_5d" localSheetId="2">'5d_analysis'!$B$8:$M$8</definedName>
    <definedName name="yabure_20230515_50psu_5d" localSheetId="2">'5d_analysis'!$B$9:$M$9</definedName>
    <definedName name="yabure_20230515_5psu_5d" localSheetId="2">'5d_analysis'!$B$3:$M$3</definedName>
    <definedName name="yabure_20230515_60psu_5d" localSheetId="2">'5d_analysis'!$B$10:$M$10</definedName>
    <definedName name="yabure_20230515_70psu_5d" localSheetId="2">'5d_analysis'!$B$11:$M$11</definedName>
    <definedName name="yabure_20230515_80psu_5d" localSheetId="2">'5d_analysis'!$B$12:$M$12</definedName>
    <definedName name="yabure_20230515_90psu_5d" localSheetId="2">'5d_analysis'!$B$13:$M$13</definedName>
    <definedName name="yabure_20230517_0psu_7d" localSheetId="3">'7d_analysis'!$B$1:$M$2</definedName>
    <definedName name="yabure_20230517_100psu_7d" localSheetId="3">'7d_analysis'!$B$14:$M$14</definedName>
    <definedName name="yabure_20230517_10psu_7d" localSheetId="3">'7d_analysis'!$B$4:$M$4</definedName>
    <definedName name="yabure_20230517_20psu_7d" localSheetId="3">'7d_analysis'!$B$5:$M$5</definedName>
    <definedName name="yabure_20230517_30psu_7d" localSheetId="3">'7d_analysis'!$B$6:$M$6</definedName>
    <definedName name="yabure_20230517_34psu_7d" localSheetId="3">'7d_analysis'!$B$7:$M$7</definedName>
    <definedName name="yabure_20230517_40psu_7d" localSheetId="3">'7d_analysis'!$B$8:$M$8</definedName>
    <definedName name="yabure_20230517_50psu_7d" localSheetId="3">'7d_analysis'!$B$9:$M$9</definedName>
    <definedName name="yabure_20230517_5psu_7d" localSheetId="3">'7d_analysis'!$B$3:$M$3</definedName>
    <definedName name="yabure_20230517_60psu_7d" localSheetId="3">'7d_analysis'!$B$10:$M$10</definedName>
    <definedName name="yabure_20230517_70psu_7d" localSheetId="3">'7d_analysis'!$B$11:$M$11</definedName>
    <definedName name="yabure_20230517_80psu_7d" localSheetId="3">'7d_analysis'!$B$12:$M$12</definedName>
    <definedName name="yabure_20230517_90psu_7d" localSheetId="3">'7d_analysis'!$B$13:$M$13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0" l="1"/>
  <c r="O14" i="10"/>
  <c r="P13" i="10"/>
  <c r="O13" i="10"/>
  <c r="P12" i="10"/>
  <c r="O12" i="10"/>
  <c r="P11" i="10"/>
  <c r="O11" i="10"/>
  <c r="P10" i="10"/>
  <c r="O10" i="10"/>
  <c r="P9" i="10"/>
  <c r="O9" i="10"/>
  <c r="P8" i="10"/>
  <c r="O8" i="10"/>
  <c r="P7" i="10"/>
  <c r="O7" i="10"/>
  <c r="P6" i="10"/>
  <c r="O6" i="10"/>
  <c r="P5" i="10"/>
  <c r="O5" i="10"/>
  <c r="P4" i="10"/>
  <c r="O4" i="10"/>
  <c r="P3" i="10"/>
  <c r="O3" i="10"/>
  <c r="P2" i="10"/>
  <c r="O2" i="10"/>
  <c r="P14" i="8"/>
  <c r="O14" i="8"/>
  <c r="P13" i="8"/>
  <c r="O13" i="8"/>
  <c r="P12" i="8"/>
  <c r="O12" i="8"/>
  <c r="P11" i="8"/>
  <c r="O11" i="8"/>
  <c r="P10" i="8"/>
  <c r="O10" i="8"/>
  <c r="P9" i="8"/>
  <c r="O9" i="8"/>
  <c r="P8" i="8"/>
  <c r="O8" i="8"/>
  <c r="P7" i="8"/>
  <c r="O7" i="8"/>
  <c r="P6" i="8"/>
  <c r="O6" i="8"/>
  <c r="P5" i="8"/>
  <c r="O5" i="8"/>
  <c r="P4" i="8"/>
  <c r="O4" i="8"/>
  <c r="P3" i="8"/>
  <c r="O3" i="8"/>
  <c r="P2" i="8"/>
  <c r="O2" i="8"/>
  <c r="P14" i="6"/>
  <c r="O14" i="6"/>
  <c r="P13" i="6"/>
  <c r="O13" i="6"/>
  <c r="P12" i="6"/>
  <c r="O12" i="6"/>
  <c r="P11" i="6"/>
  <c r="O11" i="6"/>
  <c r="P10" i="6"/>
  <c r="O10" i="6"/>
  <c r="P9" i="6"/>
  <c r="O9" i="6"/>
  <c r="P8" i="6"/>
  <c r="O8" i="6"/>
  <c r="P7" i="6"/>
  <c r="O7" i="6"/>
  <c r="P6" i="6"/>
  <c r="O6" i="6"/>
  <c r="P5" i="6"/>
  <c r="O5" i="6"/>
  <c r="P4" i="6"/>
  <c r="O4" i="6"/>
  <c r="P3" i="6"/>
  <c r="O3" i="6"/>
  <c r="P2" i="6"/>
  <c r="O2" i="6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5" i="2"/>
  <c r="O5" i="2"/>
  <c r="P4" i="2"/>
  <c r="O4" i="2"/>
  <c r="P3" i="2"/>
  <c r="O3" i="2"/>
  <c r="P2" i="2"/>
  <c r="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3D9F89-2CF2-0A47-A6D0-D4F2D6207068}" name="yabure-20230511-0psu-1d1" type="6" refreshedVersion="8" background="1" saveData="1">
    <textPr codePage="10001" sourceFile="/Users/teradaryuuta_iMac2016/Dropbox/Terada_DATA_2023/1_Project/Umbraulva_study_Nagashima/3_PAM_Sal/yabure-20230511-psu-1d/yabure-20230511-0psu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461B35D-7426-514D-8A4A-2D7E96178E16}" name="yabure-20230511-100psu-1d1" type="6" refreshedVersion="8" background="1" saveData="1">
    <textPr codePage="10001" sourceFile="/Users/teradaryuuta_iMac2016/Dropbox/Terada_DATA_2023/1_Project/Umbraulva_study_Nagashima/3_PAM_Sal/yabure-20230511-psu-1d/yabure-20230511-100psu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136A4900-BDC0-8A42-B224-D06A377FA0EF}" name="yabure-20230511-10psu-1d1" type="6" refreshedVersion="8" background="1" saveData="1">
    <textPr codePage="10001" sourceFile="/Users/teradaryuuta_iMac2016/Dropbox/Terada_DATA_2023/1_Project/Umbraulva_study_Nagashima/3_PAM_Sal/yabure-20230511-psu-1d/yabure-20230511-10psu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33166BC0-D8C7-1341-8A21-79EC278A5587}" name="yabure-20230511-20psu-1d1" type="6" refreshedVersion="8" background="1" saveData="1">
    <textPr codePage="10001" sourceFile="/Users/teradaryuuta_iMac2016/Dropbox/Terada_DATA_2023/1_Project/Umbraulva_study_Nagashima/3_PAM_Sal/yabure-20230511-psu-1d/yabure-20230511-20psu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C5099A7E-77DC-7E4D-9A0D-309E95AA6352}" name="yabure-20230511-30psu-1d1" type="6" refreshedVersion="8" background="1" saveData="1">
    <textPr codePage="10001" sourceFile="/Users/teradaryuuta_iMac2016/Dropbox/Terada_DATA_2023/1_Project/Umbraulva_study_Nagashima/3_PAM_Sal/yabure-20230511-psu-1d/yabure-20230511-30psu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18E4E8FE-2BBF-4F43-97A3-24BD143C2F20}" name="yabure-20230511-34psu-1d1" type="6" refreshedVersion="8" background="1" saveData="1">
    <textPr codePage="10001" sourceFile="/Users/teradaryuuta_iMac2016/Dropbox/Terada_DATA_2023/1_Project/Umbraulva_study_Nagashima/3_PAM_Sal/yabure-20230511-psu-1d/yabure-20230511-34psu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3BAD7E37-EE36-C547-85F9-0F0B6583527B}" name="yabure-20230511-40psu-1d1" type="6" refreshedVersion="8" background="1" saveData="1">
    <textPr codePage="10001" sourceFile="/Users/teradaryuuta_iMac2016/Dropbox/Terada_DATA_2023/1_Project/Umbraulva_study_Nagashima/3_PAM_Sal/yabure-20230511-psu-1d/yabure-20230511-40psu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D74D0D0C-9576-EC45-952B-21D93A4C827D}" name="yabure-20230511-50psu-1d1" type="6" refreshedVersion="8" background="1" saveData="1">
    <textPr codePage="10001" sourceFile="/Users/teradaryuuta_iMac2016/Dropbox/Terada_DATA_2023/1_Project/Umbraulva_study_Nagashima/3_PAM_Sal/yabure-20230511-psu-1d/yabure-20230511-50psu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D6A396B8-C78E-454F-938A-D41F6134A317}" name="yabure-20230511-5psu-1d1" type="6" refreshedVersion="8" background="1" saveData="1">
    <textPr codePage="10001" sourceFile="/Users/teradaryuuta_iMac2016/Dropbox/Terada_DATA_2023/1_Project/Umbraulva_study_Nagashima/3_PAM_Sal/yabure-20230511-psu-1d/yabure-20230511-5psu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5934281D-9841-AB41-874E-A6F6DE5A26F3}" name="yabure-20230511-60psu-1d1" type="6" refreshedVersion="8" background="1" saveData="1">
    <textPr codePage="10001" sourceFile="/Users/teradaryuuta_iMac2016/Dropbox/Terada_DATA_2023/1_Project/Umbraulva_study_Nagashima/3_PAM_Sal/yabure-20230511-psu-1d/yabure-20230511-60psu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EBDB2B3B-B03F-2845-9614-AA6AF3A53AA4}" name="yabure-20230511-70psu-1d1" type="6" refreshedVersion="8" background="1" saveData="1">
    <textPr codePage="10001" sourceFile="/Users/teradaryuuta_iMac2016/Dropbox/Terada_DATA_2023/1_Project/Umbraulva_study_Nagashima/3_PAM_Sal/yabure-20230511-psu-1d/yabure-20230511-70psu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A1CBB798-FD43-A240-BF85-35005A77E924}" name="yabure-20230511-80psu-1d1" type="6" refreshedVersion="8" background="1" saveData="1">
    <textPr codePage="10001" sourceFile="/Users/teradaryuuta_iMac2016/Dropbox/Terada_DATA_2023/1_Project/Umbraulva_study_Nagashima/3_PAM_Sal/yabure-20230511-psu-1d/yabure-20230511-80psu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F357E8D6-3CB8-C047-97BA-0EA2E9EEF652}" name="yabure-20230511-90psu-1d1" type="6" refreshedVersion="8" background="1" saveData="1">
    <textPr codePage="10001" sourceFile="/Users/teradaryuuta_iMac2016/Dropbox/Terada_DATA_2023/1_Project/Umbraulva_study_Nagashima/3_PAM_Sal/yabure-20230511-psu-1d/yabure-20230511-90psu-1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13BE663D-8964-3F44-8EB1-9B8755BD0AB8}" name="yabure-20230513-0psu-3d1" type="6" refreshedVersion="8" background="1" saveData="1">
    <textPr codePage="10001" sourceFile="/Users/teradaryuuta_iMac2016/Dropbox/Terada_DATA_2023/1_Project/Umbraulva_study_Nagashima/3_PAM_Sal/yabure-20230513-psu-3d/yabure-20230513-0psu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B337A4CC-4B6E-ED40-A3F1-2CF74A48C5BE}" name="yabure-20230513-100psu-3d1" type="6" refreshedVersion="8" background="1" saveData="1">
    <textPr codePage="10001" sourceFile="/Users/teradaryuuta_iMac2016/Dropbox/Terada_DATA_2023/1_Project/Umbraulva_study_Nagashima/3_PAM_Sal/yabure-20230513-psu-3d/yabure-20230513-100psu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39138A60-FDA7-0E42-A7BD-96533B3FEF86}" name="yabure-20230513-10psu-3d1" type="6" refreshedVersion="8" background="1" saveData="1">
    <textPr codePage="10001" sourceFile="/Users/teradaryuuta_iMac2016/Dropbox/Terada_DATA_2023/1_Project/Umbraulva_study_Nagashima/3_PAM_Sal/yabure-20230513-psu-3d/yabure-20230513-10psu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72CED49A-7FB0-1F4F-A37B-B5423CD8A5D4}" name="yabure-20230513-20psu-3d1" type="6" refreshedVersion="8" background="1" saveData="1">
    <textPr codePage="10001" sourceFile="/Users/teradaryuuta_iMac2016/Dropbox/Terada_DATA_2023/1_Project/Umbraulva_study_Nagashima/3_PAM_Sal/yabure-20230513-psu-3d/yabure-20230513-20psu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xr16:uid="{3764B08F-1141-EA4B-B022-673FCCE13833}" name="yabure-20230513-30psu-3d1" type="6" refreshedVersion="8" background="1" saveData="1">
    <textPr codePage="10001" sourceFile="/Users/teradaryuuta_iMac2016/Dropbox/Terada_DATA_2023/1_Project/Umbraulva_study_Nagashima/3_PAM_Sal/yabure-20230513-psu-3d/yabure-20230513-30psu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xr16:uid="{104B7126-EA10-6E40-9045-F7F5216080B1}" name="yabure-20230513-34psu-3d1" type="6" refreshedVersion="8" background="1" saveData="1">
    <textPr codePage="10001" sourceFile="/Users/teradaryuuta_iMac2016/Dropbox/Terada_DATA_2023/1_Project/Umbraulva_study_Nagashima/3_PAM_Sal/yabure-20230513-psu-3d/yabure-20230513-34psu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xr16:uid="{642D1E9E-C6AF-5142-B422-3619FA56CA2D}" name="yabure-20230513-40psu-3d1" type="6" refreshedVersion="8" background="1" saveData="1">
    <textPr codePage="10001" sourceFile="/Users/teradaryuuta_iMac2016/Dropbox/Terada_DATA_2023/1_Project/Umbraulva_study_Nagashima/3_PAM_Sal/yabure-20230513-psu-3d/yabure-20230513-40psu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xr16:uid="{7ED96E08-FF3B-CD4C-98E3-B0A5BC7FF107}" name="yabure-20230513-50psu-3d1" type="6" refreshedVersion="8" background="1" saveData="1">
    <textPr codePage="10001" sourceFile="/Users/teradaryuuta_iMac2016/Dropbox/Terada_DATA_2023/1_Project/Umbraulva_study_Nagashima/3_PAM_Sal/yabure-20230513-psu-3d/yabure-20230513-50psu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xr16:uid="{6EBCFA20-63B6-B747-84CF-89CA6039677F}" name="yabure-20230513-5psu-3d1" type="6" refreshedVersion="8" background="1" saveData="1">
    <textPr codePage="10001" sourceFile="/Users/teradaryuuta_iMac2016/Dropbox/Terada_DATA_2023/1_Project/Umbraulva_study_Nagashima/3_PAM_Sal/yabure-20230513-psu-3d/yabure-20230513-5psu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3" xr16:uid="{E3EF03BC-6BB3-8B49-BC44-EFC1642B4F46}" name="yabure-20230513-60psu-3d1" type="6" refreshedVersion="8" background="1" saveData="1">
    <textPr codePage="10001" sourceFile="/Users/teradaryuuta_iMac2016/Dropbox/Terada_DATA_2023/1_Project/Umbraulva_study_Nagashima/3_PAM_Sal/yabure-20230513-psu-3d/yabure-20230513-60psu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4" xr16:uid="{9D95B473-2A48-7C42-9049-FCBD7DA593BA}" name="yabure-20230513-70psu-3d1" type="6" refreshedVersion="8" background="1" saveData="1">
    <textPr codePage="10001" sourceFile="/Users/teradaryuuta_iMac2016/Dropbox/Terada_DATA_2023/1_Project/Umbraulva_study_Nagashima/3_PAM_Sal/yabure-20230513-psu-3d/yabure-20230513-70psu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5" xr16:uid="{3E427A64-19AA-F74C-A94F-4D773F33D4DC}" name="yabure-20230513-80psu-3d1" type="6" refreshedVersion="8" background="1" saveData="1">
    <textPr codePage="10001" sourceFile="/Users/teradaryuuta_iMac2016/Dropbox/Terada_DATA_2023/1_Project/Umbraulva_study_Nagashima/3_PAM_Sal/yabure-20230513-psu-3d/yabure-20230513-80psu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6" xr16:uid="{A1F37BF4-6E80-5E45-9F77-C6FE5A4B059B}" name="yabure-20230513-90psu-3d1" type="6" refreshedVersion="8" background="1" saveData="1">
    <textPr codePage="10001" sourceFile="/Users/teradaryuuta_iMac2016/Dropbox/Terada_DATA_2023/1_Project/Umbraulva_study_Nagashima/3_PAM_Sal/yabure-20230513-psu-3d/yabure-20230513-90psu-3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7" xr16:uid="{A3FE6887-C6BD-3B48-B3DA-CA0BF2796231}" name="yabure-20230515-0psu-5d1" type="6" refreshedVersion="8" background="1" saveData="1">
    <textPr codePage="10001" sourceFile="/Users/teradaryuuta_iMac2016/Dropbox/Terada_DATA_2023/1_Project/Ulva_Umbraulva_study_Nagashima/Ulva_lacinulata_アオサリカ/3_PAM_Sal/yabure-20230515-psu-5d/yabure-20230515-0psu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8" xr16:uid="{962DC530-9D12-7745-A603-D947F60A4691}" name="yabure-20230515-100psu-5d1" type="6" refreshedVersion="8" background="1" saveData="1">
    <textPr codePage="10001" sourceFile="/Users/teradaryuuta_iMac2016/Dropbox/Terada_DATA_2023/1_Project/Ulva_Umbraulva_study_Nagashima/Ulva_lacinulata_アオサリカ/3_PAM_Sal/yabure-20230515-psu-5d/yabure-20230515-100psu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9" xr16:uid="{FD2CC03A-75D6-244F-8A0A-650BAB1B70CF}" name="yabure-20230515-10psu-5d1" type="6" refreshedVersion="8" background="1" saveData="1">
    <textPr codePage="10001" sourceFile="/Users/teradaryuuta_iMac2016/Dropbox/Terada_DATA_2023/1_Project/Ulva_Umbraulva_study_Nagashima/Ulva_lacinulata_アオサリカ/3_PAM_Sal/yabure-20230515-psu-5d/yabure-20230515-10psu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0" xr16:uid="{44A14122-6528-8349-AEDB-9BDF443A1FFD}" name="yabure-20230515-20psu-5d1" type="6" refreshedVersion="8" background="1" saveData="1">
    <textPr codePage="10001" sourceFile="/Users/teradaryuuta_iMac2016/Dropbox/Terada_DATA_2023/1_Project/Ulva_Umbraulva_study_Nagashima/Ulva_lacinulata_アオサリカ/3_PAM_Sal/yabure-20230515-psu-5d/yabure-20230515-20psu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1" xr16:uid="{8FAD7131-FAD3-984A-8B85-BE980B1E55F1}" name="yabure-20230515-30psu-5d1" type="6" refreshedVersion="8" background="1" saveData="1">
    <textPr codePage="10001" sourceFile="/Users/teradaryuuta_iMac2016/Dropbox/Terada_DATA_2023/1_Project/Ulva_Umbraulva_study_Nagashima/Ulva_lacinulata_アオサリカ/3_PAM_Sal/yabure-20230515-psu-5d/yabure-20230515-30psu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2" xr16:uid="{E24C2B0C-7CB3-9649-AFAA-60A39CA85DC9}" name="yabure-20230515-34psu-5d1" type="6" refreshedVersion="8" background="1" saveData="1">
    <textPr codePage="10001" sourceFile="/Users/teradaryuuta_iMac2016/Dropbox/Terada_DATA_2023/1_Project/Ulva_Umbraulva_study_Nagashima/Ulva_lacinulata_アオサリカ/3_PAM_Sal/yabure-20230515-psu-5d/yabure-20230515-34psu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3" xr16:uid="{B4DD0CC6-63E3-0A44-AFB5-4783B14B2E9A}" name="yabure-20230515-40psu-5d1" type="6" refreshedVersion="8" background="1" saveData="1">
    <textPr codePage="10001" sourceFile="/Users/teradaryuuta_iMac2016/Dropbox/Terada_DATA_2023/1_Project/Ulva_Umbraulva_study_Nagashima/Ulva_lacinulata_アオサリカ/3_PAM_Sal/yabure-20230515-psu-5d/yabure-20230515-40psu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4" xr16:uid="{22C26FB1-9730-E648-8B79-B899BB0B5B63}" name="yabure-20230515-50psu-5d1" type="6" refreshedVersion="8" background="1" saveData="1">
    <textPr codePage="10001" sourceFile="/Users/teradaryuuta_iMac2016/Dropbox/Terada_DATA_2023/1_Project/Ulva_Umbraulva_study_Nagashima/Ulva_lacinulata_アオサリカ/3_PAM_Sal/yabure-20230515-psu-5d/yabure-20230515-50psu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5" xr16:uid="{768CDE49-2518-8B42-87E0-2EB541F1ECBB}" name="yabure-20230515-5psu-5d1" type="6" refreshedVersion="8" background="1" saveData="1">
    <textPr codePage="10001" sourceFile="/Users/teradaryuuta_iMac2016/Dropbox/Terada_DATA_2023/1_Project/Ulva_Umbraulva_study_Nagashima/Ulva_lacinulata_アオサリカ/3_PAM_Sal/yabure-20230515-psu-5d/yabure-20230515-5psu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6" xr16:uid="{95BD0B6E-A432-964A-97B7-B0C69A928078}" name="yabure-20230515-60psu-5d1" type="6" refreshedVersion="8" background="1" saveData="1">
    <textPr codePage="10001" sourceFile="/Users/teradaryuuta_iMac2016/Dropbox/Terada_DATA_2023/1_Project/Ulva_Umbraulva_study_Nagashima/Ulva_lacinulata_アオサリカ/3_PAM_Sal/yabure-20230515-psu-5d/yabure-20230515-60psu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7" xr16:uid="{C164FA53-7E41-5D42-9D15-2791DA5DBAC4}" name="yabure-20230515-70psu-5d1" type="6" refreshedVersion="8" background="1" saveData="1">
    <textPr codePage="10001" sourceFile="/Users/teradaryuuta_iMac2016/Dropbox/Terada_DATA_2023/1_Project/Ulva_Umbraulva_study_Nagashima/Ulva_lacinulata_アオサリカ/3_PAM_Sal/yabure-20230515-psu-5d/yabure-20230515-70psu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8" xr16:uid="{83222631-ADD2-3742-9A9F-ADD9A3B2CE31}" name="yabure-20230515-80psu-5d1" type="6" refreshedVersion="8" background="1" saveData="1">
    <textPr codePage="10001" sourceFile="/Users/teradaryuuta_iMac2016/Dropbox/Terada_DATA_2023/1_Project/Ulva_Umbraulva_study_Nagashima/Ulva_lacinulata_アオサリカ/3_PAM_Sal/yabure-20230515-psu-5d/yabure-20230515-80psu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9" xr16:uid="{47479E08-2BCA-814C-A7B5-8D41896EEF48}" name="yabure-20230515-90psu-5d1" type="6" refreshedVersion="8" background="1" saveData="1">
    <textPr codePage="10001" sourceFile="/Users/teradaryuuta_iMac2016/Dropbox/Terada_DATA_2023/1_Project/Ulva_Umbraulva_study_Nagashima/Ulva_lacinulata_アオサリカ/3_PAM_Sal/yabure-20230515-psu-5d/yabure-20230515-90psu-5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0" xr16:uid="{5A3201BF-53E6-2C4F-8898-55EC52510E8F}" name="yabure-20230517-0psu-7d1" type="6" refreshedVersion="8" background="1" saveData="1">
    <textPr codePage="10001" sourceFile="/Users/teradaryuuta_iMac2016/Dropbox/Terada_DATA_2023/1_Project/Ulva_Umbraulva_study_Nagashima/Ulva_lacinulata_アオサリカ/3_PAM_Sal/yabure-20230517-psu-7d/yabure-20230517-0psu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1" xr16:uid="{E7BE96B0-DCCE-2643-AAFE-0CF36F7E958B}" name="yabure-20230517-100psu-7d1" type="6" refreshedVersion="8" background="1" saveData="1">
    <textPr codePage="10001" sourceFile="/Users/teradaryuuta_iMac2016/Dropbox/Terada_DATA_2023/1_Project/Ulva_Umbraulva_study_Nagashima/Ulva_lacinulata_アオサリカ/3_PAM_Sal/yabure-20230517-psu-7d/yabure-20230517-100psu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2" xr16:uid="{3E695A45-A7BA-F944-92D1-B65E75D6D56C}" name="yabure-20230517-10psu-7d1" type="6" refreshedVersion="8" background="1" saveData="1">
    <textPr codePage="10001" sourceFile="/Users/teradaryuuta_iMac2016/Dropbox/Terada_DATA_2023/1_Project/Ulva_Umbraulva_study_Nagashima/Ulva_lacinulata_アオサリカ/3_PAM_Sal/yabure-20230517-psu-7d/yabure-20230517-10psu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3" xr16:uid="{BDFCC4B4-8293-B546-B6B6-BAFEDFC6691E}" name="yabure-20230517-20psu-7d1" type="6" refreshedVersion="8" background="1" saveData="1">
    <textPr codePage="10001" sourceFile="/Users/teradaryuuta_iMac2016/Dropbox/Terada_DATA_2023/1_Project/Ulva_Umbraulva_study_Nagashima/Ulva_lacinulata_アオサリカ/3_PAM_Sal/yabure-20230517-psu-7d/yabure-20230517-20psu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4" xr16:uid="{E8B1BFAA-CCE3-0142-B063-5D8B1D25DBE6}" name="yabure-20230517-30psu-7d1" type="6" refreshedVersion="8" background="1" saveData="1">
    <textPr codePage="10001" sourceFile="/Users/teradaryuuta_iMac2016/Dropbox/Terada_DATA_2023/1_Project/Ulva_Umbraulva_study_Nagashima/Ulva_lacinulata_アオサリカ/3_PAM_Sal/yabure-20230517-psu-7d/yabure-20230517-30psu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5" xr16:uid="{26A145EC-25B7-A143-B1F8-91A0C2D7B0C3}" name="yabure-20230517-34psu-7d1" type="6" refreshedVersion="8" background="1" saveData="1">
    <textPr codePage="10001" sourceFile="/Users/teradaryuuta_iMac2016/Dropbox/Terada_DATA_2023/1_Project/Ulva_Umbraulva_study_Nagashima/Ulva_lacinulata_アオサリカ/3_PAM_Sal/yabure-20230517-psu-7d/yabure-20230517-34psu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6" xr16:uid="{C16CBF78-DAE5-1D4A-8B5B-F1662987383E}" name="yabure-20230517-40psu-7d1" type="6" refreshedVersion="8" background="1" saveData="1">
    <textPr codePage="10001" sourceFile="/Users/teradaryuuta_iMac2016/Dropbox/Terada_DATA_2023/1_Project/Ulva_Umbraulva_study_Nagashima/Ulva_lacinulata_アオサリカ/3_PAM_Sal/yabure-20230517-psu-7d/yabure-20230517-40psu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7" xr16:uid="{13471D82-F2FB-CE45-B9C1-45B82F43F149}" name="yabure-20230517-50psu-7d1" type="6" refreshedVersion="8" background="1" saveData="1">
    <textPr codePage="10001" sourceFile="/Users/teradaryuuta_iMac2016/Dropbox/Terada_DATA_2023/1_Project/Ulva_Umbraulva_study_Nagashima/Ulva_lacinulata_アオサリカ/3_PAM_Sal/yabure-20230517-psu-7d/yabure-20230517-50psu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8" xr16:uid="{09AD750D-10B8-854C-A4E1-6FC6187CC527}" name="yabure-20230517-5psu-7d1" type="6" refreshedVersion="8" background="1" saveData="1">
    <textPr codePage="10001" sourceFile="/Users/teradaryuuta_iMac2016/Dropbox/Terada_DATA_2023/1_Project/Ulva_Umbraulva_study_Nagashima/Ulva_lacinulata_アオサリカ/3_PAM_Sal/yabure-20230517-psu-7d/yabure-20230517-5psu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9" xr16:uid="{3C4E713D-E017-4E4C-971C-E273496003BE}" name="yabure-20230517-60psu-7d1" type="6" refreshedVersion="8" background="1" saveData="1">
    <textPr codePage="10001" sourceFile="/Users/teradaryuuta_iMac2016/Dropbox/Terada_DATA_2023/1_Project/Ulva_Umbraulva_study_Nagashima/Ulva_lacinulata_アオサリカ/3_PAM_Sal/yabure-20230517-psu-7d/yabure-20230517-60psu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0" xr16:uid="{5138910C-F2D5-C940-B0D0-FDD6E633C893}" name="yabure-20230517-70psu-7d1" type="6" refreshedVersion="8" background="1" saveData="1">
    <textPr codePage="10001" sourceFile="/Users/teradaryuuta_iMac2016/Dropbox/Terada_DATA_2023/1_Project/Ulva_Umbraulva_study_Nagashima/Ulva_lacinulata_アオサリカ/3_PAM_Sal/yabure-20230517-psu-7d/yabure-20230517-70psu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1" xr16:uid="{C9C97720-65E1-8C4B-8C19-129206E5469D}" name="yabure-20230517-80psu-7d1" type="6" refreshedVersion="8" background="1" saveData="1">
    <textPr codePage="10001" sourceFile="/Users/teradaryuuta_iMac2016/Dropbox/Terada_DATA_2023/1_Project/Ulva_Umbraulva_study_Nagashima/Ulva_lacinulata_アオサリカ/3_PAM_Sal/yabure-20230517-psu-7d/yabure-20230517-80psu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2" xr16:uid="{5978DDE3-A87D-AE45-A2A8-400AC28C5FB9}" name="yabure-20230517-90psu-7d1" type="6" refreshedVersion="8" background="1" saveData="1">
    <textPr codePage="10001" sourceFile="/Users/teradaryuuta_iMac2016/Dropbox/Terada_DATA_2023/1_Project/Ulva_Umbraulva_study_Nagashima/Ulva_lacinulata_アオサリカ/3_PAM_Sal/yabure-20230517-psu-7d/yabure-20230517-90psu-7d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<sst xmlns="http://schemas.openxmlformats.org/spreadsheetml/2006/main" count="112" uniqueCount="19">
  <si>
    <t>PSU</t>
    <phoneticPr fontId="2"/>
  </si>
  <si>
    <t>Date</t>
  </si>
  <si>
    <t>Time</t>
  </si>
  <si>
    <t>Y(II)1</t>
  </si>
  <si>
    <t>Y(II)2</t>
  </si>
  <si>
    <t>Y(II)3</t>
  </si>
  <si>
    <t>Y(II)4</t>
  </si>
  <si>
    <t>Y(II)5</t>
  </si>
  <si>
    <t>Y(II)6</t>
  </si>
  <si>
    <t>Y(II)7</t>
  </si>
  <si>
    <t>Y(II)8</t>
  </si>
  <si>
    <t>Y(II)9</t>
  </si>
  <si>
    <t>Y(II)10</t>
  </si>
  <si>
    <t>13.05.23</t>
  </si>
  <si>
    <t>Mean</t>
    <phoneticPr fontId="2"/>
  </si>
  <si>
    <t>SD</t>
    <phoneticPr fontId="2"/>
  </si>
  <si>
    <t>11.05.23</t>
  </si>
  <si>
    <t>15.05.23</t>
  </si>
  <si>
    <t>17.05.23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</si>
</sst>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charset val="128"/>
      <scheme val="minor"/>
    </font>
    <font>
      <sz val="12"/>
      <color theme="1"/>
      <name val="Arial"/>
      <family val="2"/>
    </font>
    <font>
      <sz val="6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21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'1d_analysis'!$P$2:$P$14</c:f>
                <c:numCache>
                  <c:formatCode>General</c:formatCode>
                  <c:ptCount val="13"/>
                  <c:pt idx="0">
                    <c:v>1.5961411800547783E-2</c:v>
                  </c:pt>
                  <c:pt idx="1">
                    <c:v>1.7398595090153447E-2</c:v>
                  </c:pt>
                  <c:pt idx="2">
                    <c:v>2.2617839566737304E-2</c:v>
                  </c:pt>
                  <c:pt idx="3">
                    <c:v>2.8999808428486047E-2</c:v>
                  </c:pt>
                  <c:pt idx="4">
                    <c:v>1.1284699572626853E-2</c:v>
                  </c:pt>
                  <c:pt idx="5">
                    <c:v>2.1888860688081119E-2</c:v>
                  </c:pt>
                  <c:pt idx="6">
                    <c:v>2.1680764644162263E-2</c:v>
                  </c:pt>
                  <c:pt idx="7">
                    <c:v>2.4281680337241922E-2</c:v>
                  </c:pt>
                  <c:pt idx="8">
                    <c:v>2.1571586249817934E-2</c:v>
                  </c:pt>
                  <c:pt idx="9">
                    <c:v>2.6312016688620113E-2</c:v>
                  </c:pt>
                  <c:pt idx="10">
                    <c:v>2.0536146993370811E-2</c:v>
                  </c:pt>
                  <c:pt idx="11">
                    <c:v>4.578803822445817E-2</c:v>
                  </c:pt>
                  <c:pt idx="12">
                    <c:v>2.9615311355220733E-2</c:v>
                  </c:pt>
                </c:numCache>
              </c:numRef>
            </c:plus>
            <c:minus>
              <c:numRef>
                <c:f>'1d_analysis'!$P$2:$P$14</c:f>
                <c:numCache>
                  <c:formatCode>General</c:formatCode>
                  <c:ptCount val="13"/>
                  <c:pt idx="0">
                    <c:v>1.5961411800547783E-2</c:v>
                  </c:pt>
                  <c:pt idx="1">
                    <c:v>1.7398595090153447E-2</c:v>
                  </c:pt>
                  <c:pt idx="2">
                    <c:v>2.2617839566737304E-2</c:v>
                  </c:pt>
                  <c:pt idx="3">
                    <c:v>2.8999808428486047E-2</c:v>
                  </c:pt>
                  <c:pt idx="4">
                    <c:v>1.1284699572626853E-2</c:v>
                  </c:pt>
                  <c:pt idx="5">
                    <c:v>2.1888860688081119E-2</c:v>
                  </c:pt>
                  <c:pt idx="6">
                    <c:v>2.1680764644162263E-2</c:v>
                  </c:pt>
                  <c:pt idx="7">
                    <c:v>2.4281680337241922E-2</c:v>
                  </c:pt>
                  <c:pt idx="8">
                    <c:v>2.1571586249817934E-2</c:v>
                  </c:pt>
                  <c:pt idx="9">
                    <c:v>2.6312016688620113E-2</c:v>
                  </c:pt>
                  <c:pt idx="10">
                    <c:v>2.0536146993370811E-2</c:v>
                  </c:pt>
                  <c:pt idx="11">
                    <c:v>4.578803822445817E-2</c:v>
                  </c:pt>
                  <c:pt idx="12">
                    <c:v>2.9615311355220733E-2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'1d_analysis'!$A$2:$A$14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34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</c:numCache>
            </c:numRef>
          </c:xVal>
          <c:yVal>
            <c:numRef>
              <c:f>'1d_analysis'!$O$2:$O$14</c:f>
              <c:numCache>
                <c:formatCode>0.000</c:formatCode>
                <c:ptCount val="13"/>
                <c:pt idx="0">
                  <c:v>0.57709999999999995</c:v>
                </c:pt>
                <c:pt idx="1">
                  <c:v>0.65239999999999987</c:v>
                </c:pt>
                <c:pt idx="2">
                  <c:v>0.65170000000000006</c:v>
                </c:pt>
                <c:pt idx="3">
                  <c:v>0.63009999999999988</c:v>
                </c:pt>
                <c:pt idx="4">
                  <c:v>0.65429999999999999</c:v>
                </c:pt>
                <c:pt idx="5">
                  <c:v>0.62770000000000004</c:v>
                </c:pt>
                <c:pt idx="6">
                  <c:v>0.64249999999999996</c:v>
                </c:pt>
                <c:pt idx="7">
                  <c:v>0.61539999999999995</c:v>
                </c:pt>
                <c:pt idx="8">
                  <c:v>0.62099999999999989</c:v>
                </c:pt>
                <c:pt idx="9">
                  <c:v>0.60689999999999988</c:v>
                </c:pt>
                <c:pt idx="10">
                  <c:v>0.59979999999999989</c:v>
                </c:pt>
                <c:pt idx="11">
                  <c:v>0.52989999999999993</c:v>
                </c:pt>
                <c:pt idx="12">
                  <c:v>0.4678000000000001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2-2846-AC87-6F27BA212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780880"/>
        <c:axId val="626663712"/>
      </c:scatterChart>
      <c:valAx>
        <c:axId val="681780880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626663712"/>
        <c:crosses val="autoZero"/>
        <c:crossBetween val="midCat"/>
        <c:majorUnit val="10"/>
      </c:valAx>
      <c:valAx>
        <c:axId val="626663712"/>
        <c:scaling>
          <c:orientation val="minMax"/>
          <c:max val="1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68178088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'3d_analysis'!$P$2:$P$14</c:f>
                <c:numCache>
                  <c:formatCode>General</c:formatCode>
                  <c:ptCount val="13"/>
                  <c:pt idx="0">
                    <c:v>2.217004986713178E-2</c:v>
                  </c:pt>
                  <c:pt idx="1">
                    <c:v>1.5504837954651426E-2</c:v>
                  </c:pt>
                  <c:pt idx="2">
                    <c:v>2.8275627510474678E-2</c:v>
                  </c:pt>
                  <c:pt idx="3">
                    <c:v>1.4325191486019007E-2</c:v>
                  </c:pt>
                  <c:pt idx="4">
                    <c:v>1.4892205269125797E-2</c:v>
                  </c:pt>
                  <c:pt idx="5">
                    <c:v>2.3318090259138596E-2</c:v>
                  </c:pt>
                  <c:pt idx="6">
                    <c:v>1.5795920711092201E-2</c:v>
                  </c:pt>
                  <c:pt idx="7">
                    <c:v>2.5680948407547418E-2</c:v>
                  </c:pt>
                  <c:pt idx="8">
                    <c:v>1.6264822299811486E-2</c:v>
                  </c:pt>
                  <c:pt idx="9">
                    <c:v>2.3243637122160283E-2</c:v>
                  </c:pt>
                  <c:pt idx="10">
                    <c:v>1.2887978895078945E-2</c:v>
                  </c:pt>
                  <c:pt idx="11">
                    <c:v>7.2671559468305696E-2</c:v>
                  </c:pt>
                  <c:pt idx="12">
                    <c:v>4.6824020426367699E-2</c:v>
                  </c:pt>
                </c:numCache>
              </c:numRef>
            </c:plus>
            <c:minus>
              <c:numRef>
                <c:f>'3d_analysis'!$P$2:$P$14</c:f>
                <c:numCache>
                  <c:formatCode>General</c:formatCode>
                  <c:ptCount val="13"/>
                  <c:pt idx="0">
                    <c:v>2.217004986713178E-2</c:v>
                  </c:pt>
                  <c:pt idx="1">
                    <c:v>1.5504837954651426E-2</c:v>
                  </c:pt>
                  <c:pt idx="2">
                    <c:v>2.8275627510474678E-2</c:v>
                  </c:pt>
                  <c:pt idx="3">
                    <c:v>1.4325191486019007E-2</c:v>
                  </c:pt>
                  <c:pt idx="4">
                    <c:v>1.4892205269125797E-2</c:v>
                  </c:pt>
                  <c:pt idx="5">
                    <c:v>2.3318090259138596E-2</c:v>
                  </c:pt>
                  <c:pt idx="6">
                    <c:v>1.5795920711092201E-2</c:v>
                  </c:pt>
                  <c:pt idx="7">
                    <c:v>2.5680948407547418E-2</c:v>
                  </c:pt>
                  <c:pt idx="8">
                    <c:v>1.6264822299811486E-2</c:v>
                  </c:pt>
                  <c:pt idx="9">
                    <c:v>2.3243637122160283E-2</c:v>
                  </c:pt>
                  <c:pt idx="10">
                    <c:v>1.2887978895078945E-2</c:v>
                  </c:pt>
                  <c:pt idx="11">
                    <c:v>7.2671559468305696E-2</c:v>
                  </c:pt>
                  <c:pt idx="12">
                    <c:v>4.6824020426367699E-2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'3d_analysis'!$A$2:$A$14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34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</c:numCache>
            </c:numRef>
          </c:xVal>
          <c:yVal>
            <c:numRef>
              <c:f>'3d_analysis'!$O$2:$O$14</c:f>
              <c:numCache>
                <c:formatCode>0.000</c:formatCode>
                <c:ptCount val="13"/>
                <c:pt idx="0">
                  <c:v>0.55880000000000007</c:v>
                </c:pt>
                <c:pt idx="1">
                  <c:v>0.67420000000000002</c:v>
                </c:pt>
                <c:pt idx="2">
                  <c:v>0.64580000000000004</c:v>
                </c:pt>
                <c:pt idx="3">
                  <c:v>0.64810000000000001</c:v>
                </c:pt>
                <c:pt idx="4">
                  <c:v>0.62600000000000011</c:v>
                </c:pt>
                <c:pt idx="5">
                  <c:v>0.62780000000000002</c:v>
                </c:pt>
                <c:pt idx="6">
                  <c:v>0.64280000000000004</c:v>
                </c:pt>
                <c:pt idx="7">
                  <c:v>0.62919999999999998</c:v>
                </c:pt>
                <c:pt idx="8">
                  <c:v>0.61890000000000001</c:v>
                </c:pt>
                <c:pt idx="9">
                  <c:v>0.62139999999999995</c:v>
                </c:pt>
                <c:pt idx="10">
                  <c:v>0.60489999999999999</c:v>
                </c:pt>
                <c:pt idx="11">
                  <c:v>0.38160000000000005</c:v>
                </c:pt>
                <c:pt idx="12">
                  <c:v>0.40659999999999996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5E-144E-9BB1-1FAD6F14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780880"/>
        <c:axId val="626663712"/>
      </c:scatterChart>
      <c:valAx>
        <c:axId val="681780880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626663712"/>
        <c:crosses val="autoZero"/>
        <c:crossBetween val="midCat"/>
        <c:majorUnit val="10"/>
      </c:valAx>
      <c:valAx>
        <c:axId val="626663712"/>
        <c:scaling>
          <c:orientation val="minMax"/>
          <c:max val="1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68178088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'5d_analysis'!$P$2:$P$14</c:f>
                <c:numCache>
                  <c:formatCode>General</c:formatCode>
                  <c:ptCount val="13"/>
                  <c:pt idx="0">
                    <c:v>5.2699251523253263E-2</c:v>
                  </c:pt>
                  <c:pt idx="1">
                    <c:v>1.1666190466471878E-2</c:v>
                  </c:pt>
                  <c:pt idx="2">
                    <c:v>1.6952220437977349E-2</c:v>
                  </c:pt>
                  <c:pt idx="3">
                    <c:v>1.0517709932405554E-2</c:v>
                  </c:pt>
                  <c:pt idx="4">
                    <c:v>3.0152206479054852E-2</c:v>
                  </c:pt>
                  <c:pt idx="5">
                    <c:v>1.2664912159190063E-2</c:v>
                  </c:pt>
                  <c:pt idx="6">
                    <c:v>1.1738351199759238E-2</c:v>
                  </c:pt>
                  <c:pt idx="7">
                    <c:v>1.7813852287849867E-2</c:v>
                  </c:pt>
                  <c:pt idx="8">
                    <c:v>1.5273797461302455E-2</c:v>
                  </c:pt>
                  <c:pt idx="9">
                    <c:v>2.1884545536367303E-2</c:v>
                  </c:pt>
                  <c:pt idx="10">
                    <c:v>3.3467065070669759E-2</c:v>
                  </c:pt>
                  <c:pt idx="11">
                    <c:v>8.9684880430191655E-2</c:v>
                  </c:pt>
                  <c:pt idx="12">
                    <c:v>0.1017612128683834</c:v>
                  </c:pt>
                </c:numCache>
              </c:numRef>
            </c:plus>
            <c:minus>
              <c:numRef>
                <c:f>'5d_analysis'!$P$2:$P$14</c:f>
                <c:numCache>
                  <c:formatCode>General</c:formatCode>
                  <c:ptCount val="13"/>
                  <c:pt idx="0">
                    <c:v>5.2699251523253263E-2</c:v>
                  </c:pt>
                  <c:pt idx="1">
                    <c:v>1.1666190466471878E-2</c:v>
                  </c:pt>
                  <c:pt idx="2">
                    <c:v>1.6952220437977349E-2</c:v>
                  </c:pt>
                  <c:pt idx="3">
                    <c:v>1.0517709932405554E-2</c:v>
                  </c:pt>
                  <c:pt idx="4">
                    <c:v>3.0152206479054852E-2</c:v>
                  </c:pt>
                  <c:pt idx="5">
                    <c:v>1.2664912159190063E-2</c:v>
                  </c:pt>
                  <c:pt idx="6">
                    <c:v>1.1738351199759238E-2</c:v>
                  </c:pt>
                  <c:pt idx="7">
                    <c:v>1.7813852287849867E-2</c:v>
                  </c:pt>
                  <c:pt idx="8">
                    <c:v>1.5273797461302455E-2</c:v>
                  </c:pt>
                  <c:pt idx="9">
                    <c:v>2.1884545536367303E-2</c:v>
                  </c:pt>
                  <c:pt idx="10">
                    <c:v>3.3467065070669759E-2</c:v>
                  </c:pt>
                  <c:pt idx="11">
                    <c:v>8.9684880430191655E-2</c:v>
                  </c:pt>
                  <c:pt idx="12">
                    <c:v>0.1017612128683834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'5d_analysis'!$A$2:$A$14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34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</c:numCache>
            </c:numRef>
          </c:xVal>
          <c:yVal>
            <c:numRef>
              <c:f>'5d_analysis'!$O$2:$O$14</c:f>
              <c:numCache>
                <c:formatCode>0.000</c:formatCode>
                <c:ptCount val="13"/>
                <c:pt idx="0">
                  <c:v>0.5121</c:v>
                </c:pt>
                <c:pt idx="1">
                  <c:v>0.68290000000000006</c:v>
                </c:pt>
                <c:pt idx="2">
                  <c:v>0.67259999999999986</c:v>
                </c:pt>
                <c:pt idx="3">
                  <c:v>0.66680000000000006</c:v>
                </c:pt>
                <c:pt idx="4">
                  <c:v>0.63339999999999996</c:v>
                </c:pt>
                <c:pt idx="5">
                  <c:v>0.65280000000000005</c:v>
                </c:pt>
                <c:pt idx="6">
                  <c:v>0.64829999999999999</c:v>
                </c:pt>
                <c:pt idx="7">
                  <c:v>0.6339999999999999</c:v>
                </c:pt>
                <c:pt idx="8">
                  <c:v>0.63219999999999998</c:v>
                </c:pt>
                <c:pt idx="9">
                  <c:v>0.62659999999999982</c:v>
                </c:pt>
                <c:pt idx="10">
                  <c:v>0.58039999999999992</c:v>
                </c:pt>
                <c:pt idx="11">
                  <c:v>0.2266</c:v>
                </c:pt>
                <c:pt idx="12">
                  <c:v>0.26569999999999999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F-5648-9CEC-5304FB40B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780880"/>
        <c:axId val="626663712"/>
      </c:scatterChart>
      <c:valAx>
        <c:axId val="681780880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626663712"/>
        <c:crosses val="autoZero"/>
        <c:crossBetween val="midCat"/>
        <c:majorUnit val="10"/>
      </c:valAx>
      <c:valAx>
        <c:axId val="626663712"/>
        <c:scaling>
          <c:orientation val="minMax"/>
          <c:max val="1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68178088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'7d_analysis'!$P$2:$P$14</c:f>
                <c:numCache>
                  <c:formatCode>General</c:formatCode>
                  <c:ptCount val="13"/>
                  <c:pt idx="0">
                    <c:v>6.7913343476979471E-2</c:v>
                  </c:pt>
                  <c:pt idx="1">
                    <c:v>1.5380001444877835E-2</c:v>
                  </c:pt>
                  <c:pt idx="2">
                    <c:v>1.6960411420586338E-2</c:v>
                  </c:pt>
                  <c:pt idx="3">
                    <c:v>1.4569374271624264E-2</c:v>
                  </c:pt>
                  <c:pt idx="4">
                    <c:v>1.1138022964402423E-2</c:v>
                  </c:pt>
                  <c:pt idx="5">
                    <c:v>1.2985461956442771E-2</c:v>
                  </c:pt>
                  <c:pt idx="6">
                    <c:v>1.7393804771942366E-2</c:v>
                  </c:pt>
                  <c:pt idx="7">
                    <c:v>1.192802489005527E-2</c:v>
                  </c:pt>
                  <c:pt idx="8">
                    <c:v>1.3571211359999447E-2</c:v>
                  </c:pt>
                  <c:pt idx="9">
                    <c:v>2.1292930490866911E-2</c:v>
                  </c:pt>
                  <c:pt idx="10">
                    <c:v>2.2136194594173406E-2</c:v>
                  </c:pt>
                  <c:pt idx="11">
                    <c:v>0.10426573955257031</c:v>
                  </c:pt>
                  <c:pt idx="12">
                    <c:v>0.11450938826139974</c:v>
                  </c:pt>
                </c:numCache>
              </c:numRef>
            </c:plus>
            <c:minus>
              <c:numRef>
                <c:f>'7d_analysis'!$P$2:$P$14</c:f>
                <c:numCache>
                  <c:formatCode>General</c:formatCode>
                  <c:ptCount val="13"/>
                  <c:pt idx="0">
                    <c:v>6.7913343476979471E-2</c:v>
                  </c:pt>
                  <c:pt idx="1">
                    <c:v>1.5380001444877835E-2</c:v>
                  </c:pt>
                  <c:pt idx="2">
                    <c:v>1.6960411420586338E-2</c:v>
                  </c:pt>
                  <c:pt idx="3">
                    <c:v>1.4569374271624264E-2</c:v>
                  </c:pt>
                  <c:pt idx="4">
                    <c:v>1.1138022964402423E-2</c:v>
                  </c:pt>
                  <c:pt idx="5">
                    <c:v>1.2985461956442771E-2</c:v>
                  </c:pt>
                  <c:pt idx="6">
                    <c:v>1.7393804771942366E-2</c:v>
                  </c:pt>
                  <c:pt idx="7">
                    <c:v>1.192802489005527E-2</c:v>
                  </c:pt>
                  <c:pt idx="8">
                    <c:v>1.3571211359999447E-2</c:v>
                  </c:pt>
                  <c:pt idx="9">
                    <c:v>2.1292930490866911E-2</c:v>
                  </c:pt>
                  <c:pt idx="10">
                    <c:v>2.2136194594173406E-2</c:v>
                  </c:pt>
                  <c:pt idx="11">
                    <c:v>0.10426573955257031</c:v>
                  </c:pt>
                  <c:pt idx="12">
                    <c:v>0.11450938826139974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'7d_analysis'!$A$2:$A$14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34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</c:numCache>
            </c:numRef>
          </c:xVal>
          <c:yVal>
            <c:numRef>
              <c:f>'7d_analysis'!$O$2:$O$14</c:f>
              <c:numCache>
                <c:formatCode>0.000</c:formatCode>
                <c:ptCount val="13"/>
                <c:pt idx="0">
                  <c:v>0.44000000000000006</c:v>
                </c:pt>
                <c:pt idx="1">
                  <c:v>0.66910000000000003</c:v>
                </c:pt>
                <c:pt idx="2">
                  <c:v>0.66389999999999993</c:v>
                </c:pt>
                <c:pt idx="3">
                  <c:v>0.66439999999999988</c:v>
                </c:pt>
                <c:pt idx="4">
                  <c:v>0.66150000000000009</c:v>
                </c:pt>
                <c:pt idx="5">
                  <c:v>0.64180000000000004</c:v>
                </c:pt>
                <c:pt idx="6">
                  <c:v>0.65690000000000004</c:v>
                </c:pt>
                <c:pt idx="7">
                  <c:v>0.63550000000000006</c:v>
                </c:pt>
                <c:pt idx="8">
                  <c:v>0.63279999999999992</c:v>
                </c:pt>
                <c:pt idx="9">
                  <c:v>0.63650000000000007</c:v>
                </c:pt>
                <c:pt idx="10">
                  <c:v>0.61629999999999996</c:v>
                </c:pt>
                <c:pt idx="11">
                  <c:v>0.22770000000000001</c:v>
                </c:pt>
                <c:pt idx="12">
                  <c:v>0.22120000000000001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A1-BD45-86C3-1C92C3424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780880"/>
        <c:axId val="626663712"/>
      </c:scatterChart>
      <c:valAx>
        <c:axId val="681780880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626663712"/>
        <c:crosses val="autoZero"/>
        <c:crossBetween val="midCat"/>
        <c:majorUnit val="10"/>
      </c:valAx>
      <c:valAx>
        <c:axId val="626663712"/>
        <c:scaling>
          <c:orientation val="minMax"/>
          <c:max val="1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68178088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</xdr:row>
      <xdr:rowOff>0</xdr:rowOff>
    </xdr:from>
    <xdr:to>
      <xdr:col>10</xdr:col>
      <xdr:colOff>533400</xdr:colOff>
      <xdr:row>28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9568CA6-D104-9B4A-BC66-F554AD3A7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</xdr:row>
      <xdr:rowOff>0</xdr:rowOff>
    </xdr:from>
    <xdr:to>
      <xdr:col>10</xdr:col>
      <xdr:colOff>457200</xdr:colOff>
      <xdr:row>28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D45DA24-EFCD-E846-858D-407F67562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</xdr:row>
      <xdr:rowOff>0</xdr:rowOff>
    </xdr:from>
    <xdr:to>
      <xdr:col>10</xdr:col>
      <xdr:colOff>457200</xdr:colOff>
      <xdr:row>28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A87B9EA-F65E-B74A-AE3C-6A81316EE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</xdr:row>
      <xdr:rowOff>0</xdr:rowOff>
    </xdr:from>
    <xdr:to>
      <xdr:col>10</xdr:col>
      <xdr:colOff>381000</xdr:colOff>
      <xdr:row>28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30BFDC2-97A6-9745-828C-A649A23F2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1-90psu-1d" connectionId="13" xr16:uid="{13B3C88F-49C7-C544-8AE5-456C0029221A}" autoFormatId="2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1-5psu-1d" connectionId="9" xr16:uid="{29949732-D466-7A4A-AA12-BA5A8AC96693}" autoFormatId="2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1-100psu-1d" connectionId="2" xr16:uid="{6CEF144C-5F61-B14E-B087-7554220F9B01}" autoFormatId="2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1-30psu-1d" connectionId="5" xr16:uid="{3E35D02B-D62D-9E45-92CC-6172077CFD20}" autoFormatId="2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1-70psu-1d" connectionId="11" xr16:uid="{B733EC41-0B45-C64D-A622-17CB8B4BB0DD}" autoFormatId="2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1-80psu-1d" connectionId="12" xr16:uid="{976882F0-62C1-F449-A577-D6A7FD1E4BC8}" autoFormatId="2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1-50psu-1d" connectionId="8" xr16:uid="{A88BCC75-2463-1545-A146-91251D8AE685}" autoFormatId="20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1-60psu-1d" connectionId="10" xr16:uid="{8AF51F09-C5EA-1E41-9137-ED23030C4AF6}" autoFormatId="20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1-10psu-1d" connectionId="3" xr16:uid="{63D7C492-B802-F946-AAA2-342AFF4F2D98}" autoFormatId="20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1-34psu-1d" connectionId="6" xr16:uid="{D0DC0B4A-D0E6-9148-BE91-1FD1346EF48F}" autoFormatId="20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1-40psu-1d" connectionId="7" xr16:uid="{49D48467-E31E-0643-AD4B-A7368647F1DF}" autoFormatId="20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1-20psu-1d" connectionId="4" xr16:uid="{5F67A936-0DF3-0D4A-BBB6-759428384A0A}" autoFormatId="20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1-0psu-1d" connectionId="1" xr16:uid="{0AB087D4-A62D-DB45-B786-D52E516E9401}" autoFormatId="20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3-60psu-3d" connectionId="23" xr16:uid="{C758D986-FED0-AE48-B6A2-403B25DB5266}" autoFormatId="20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3-90psu-3d" connectionId="26" xr16:uid="{FA83642A-0E55-F14B-B917-C7C57194747A}" autoFormatId="20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3-100psu-3d" connectionId="15" xr16:uid="{BA217277-2093-3448-B392-CC070169E643}" autoFormatId="20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3-30psu-3d" connectionId="18" xr16:uid="{6BC5230D-16F0-894D-A01D-03DCBF6AFF20}" autoFormatId="20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3-34psu-3d" connectionId="19" xr16:uid="{9491EF05-0785-6C4C-BFCA-0CC47869AC76}" autoFormatId="20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3-10psu-3d" connectionId="16" xr16:uid="{5AE94202-D7B0-0145-88F5-14C81F34AED1}" autoFormatId="20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3-20psu-3d" connectionId="17" xr16:uid="{174AFF28-1185-F549-8047-517CC697FB7B}" autoFormatId="20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3-40psu-3d" connectionId="20" xr16:uid="{C5CD846A-D62E-7845-87C8-7A9EE61CE520}" autoFormatId="20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3-5psu-3d" connectionId="22" xr16:uid="{35D6223D-802C-6E46-8745-DADC0B821B89}" autoFormatId="20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3-80psu-3d" connectionId="25" xr16:uid="{AFE22152-A3FC-D944-A23E-70EEFA0B92B7}" autoFormatId="20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3-0psu-3d" connectionId="14" xr16:uid="{E05A4F6D-850A-5C45-9259-60FA3C28B4C4}" autoFormatId="20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3-70psu-3d" connectionId="24" xr16:uid="{C4C2F219-8BD3-7E4E-99BE-2714439B1D30}" autoFormatId="20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3-50psu-3d" connectionId="21" xr16:uid="{E842AB5F-B3E7-4340-BCB8-90D7DF71F484}" autoFormatId="20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5-100psu-5d" connectionId="28" xr16:uid="{B84FC584-9AED-984D-93B1-C375E29761E9}" autoFormatId="20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5-80psu-5d" connectionId="38" xr16:uid="{50CF45ED-7751-E543-B186-A29E1BE542C9}" autoFormatId="20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5-60psu-5d" connectionId="36" xr16:uid="{56CCB72B-C5FE-164B-9A55-274A5C1883DF}" autoFormatId="20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5-34psu-5d" connectionId="32" xr16:uid="{DBCFA178-96AC-7043-A727-1605EC3E4C12}" autoFormatId="20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5-20psu-5d" connectionId="30" xr16:uid="{19638956-8707-0D4B-911B-000A742C46A6}" autoFormatId="20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5-5psu-5d" connectionId="35" xr16:uid="{BD87932D-0CFC-FD49-8C93-37B99D81BD81}" autoFormatId="20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5-70psu-5d" connectionId="37" xr16:uid="{2210E1BC-2C12-B949-B8AB-C83E7CD62E03}" autoFormatId="20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5-50psu-5d" connectionId="34" xr16:uid="{E54F9A52-5130-FB45-8A83-B89375712A99}" autoFormatId="20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5-90psu-5d" connectionId="39" xr16:uid="{9A259DE3-2ACC-F04B-8C82-705668F19066}" autoFormatId="20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5-30psu-5d" connectionId="31" xr16:uid="{9942A741-862C-5A40-960B-D97229375FE0}" autoFormatId="20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5-10psu-5d" connectionId="29" xr16:uid="{BE797E00-951A-284D-90A1-88E073B8F532}" autoFormatId="20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5-40psu-5d" connectionId="33" xr16:uid="{A66162E0-382E-434B-AE10-453DEFBE33CD}" autoFormatId="20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5-0psu-5d" connectionId="27" xr16:uid="{71FA7851-1C2E-5D43-846D-5950DDDD0C62}" autoFormatId="20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7-34psu-7d" connectionId="45" xr16:uid="{B15312E6-F7C7-F44A-AE36-FB38CC035817}" autoFormatId="20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7-10psu-7d" connectionId="42" xr16:uid="{8C6BFB80-2D4A-D644-8CDF-02CE567CDF37}" autoFormatId="20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7-5psu-7d" connectionId="48" xr16:uid="{2AEAF24E-1AD5-2348-B5C9-B028D820B29C}" autoFormatId="20" applyNumberFormats="0" applyBorderFormats="0" applyFontFormats="1" applyPatternFormats="1" applyAlignmentFormats="0" applyWidthHeightFormats="0"/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7-60psu-7d" connectionId="49" xr16:uid="{A5DD1611-BD52-0C40-8353-CB5E7D9C5C23}" autoFormatId="20" applyNumberFormats="0" applyBorderFormats="0" applyFontFormats="1" applyPatternFormats="1" applyAlignmentFormats="0" applyWidthHeightFormats="0"/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7-90psu-7d" connectionId="52" xr16:uid="{FD21ACCB-0058-6648-8983-25242723342E}" autoFormatId="20" applyNumberFormats="0" applyBorderFormats="0" applyFontFormats="1" applyPatternFormats="1" applyAlignmentFormats="0" applyWidthHeightFormats="0"/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7-0psu-7d" connectionId="40" xr16:uid="{6CF99A80-CCE2-524B-99BD-CF74602782A4}" autoFormatId="20" applyNumberFormats="0" applyBorderFormats="0" applyFontFormats="1" applyPatternFormats="1" applyAlignmentFormats="0" applyWidthHeightFormats="0"/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7-20psu-7d" connectionId="43" xr16:uid="{DF7D828A-0E27-3349-8D0F-0F34681448BB}" autoFormatId="20" applyNumberFormats="0" applyBorderFormats="0" applyFontFormats="1" applyPatternFormats="1" applyAlignmentFormats="0" applyWidthHeightFormats="0"/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7-40psu-7d" connectionId="46" xr16:uid="{66960E79-B06B-024D-A99F-34C1472DF2AA}" autoFormatId="20" applyNumberFormats="0" applyBorderFormats="0" applyFontFormats="1" applyPatternFormats="1" applyAlignmentFormats="0" applyWidthHeightFormats="0"/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7-80psu-7d" connectionId="51" xr16:uid="{2C35B10E-245E-E64E-9B89-7A9B701A7239}" autoFormatId="20" applyNumberFormats="0" applyBorderFormats="0" applyFontFormats="1" applyPatternFormats="1" applyAlignmentFormats="0" applyWidthHeightFormats="0"/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7-70psu-7d" connectionId="50" xr16:uid="{C6428BFF-5D9C-054B-B3DF-DEFE4EFFC942}" autoFormatId="20" applyNumberFormats="0" applyBorderFormats="0" applyFontFormats="1" applyPatternFormats="1" applyAlignmentFormats="0" applyWidthHeightFormats="0"/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7-100psu-7d" connectionId="41" xr16:uid="{EAC9EEA5-FD28-CB46-B6B2-D05FF97AEA5F}" autoFormatId="20" applyNumberFormats="0" applyBorderFormats="0" applyFontFormats="1" applyPatternFormats="1" applyAlignmentFormats="0" applyWidthHeightFormats="0"/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7-30psu-7d" connectionId="44" xr16:uid="{C313E429-0FB8-0645-B70C-05AC2A4EDA16}" autoFormatId="20" applyNumberFormats="0" applyBorderFormats="0" applyFontFormats="1" applyPatternFormats="1" applyAlignmentFormats="0" applyWidthHeightFormats="0"/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bure-20230517-50psu-7d" connectionId="47" xr16:uid="{42C59BA1-834B-614D-9073-1639947F0A54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20.xml"/><Relationship Id="rId13" Type="http://schemas.openxmlformats.org/officeDocument/2006/relationships/queryTable" Target="../queryTables/queryTable25.xml"/><Relationship Id="rId3" Type="http://schemas.openxmlformats.org/officeDocument/2006/relationships/queryTable" Target="../queryTables/queryTable15.xml"/><Relationship Id="rId7" Type="http://schemas.openxmlformats.org/officeDocument/2006/relationships/queryTable" Target="../queryTables/queryTable19.xml"/><Relationship Id="rId12" Type="http://schemas.openxmlformats.org/officeDocument/2006/relationships/queryTable" Target="../queryTables/queryTable24.xml"/><Relationship Id="rId2" Type="http://schemas.openxmlformats.org/officeDocument/2006/relationships/queryTable" Target="../queryTables/queryTable14.xml"/><Relationship Id="rId1" Type="http://schemas.openxmlformats.org/officeDocument/2006/relationships/drawing" Target="../drawings/drawing2.xml"/><Relationship Id="rId6" Type="http://schemas.openxmlformats.org/officeDocument/2006/relationships/queryTable" Target="../queryTables/queryTable18.xml"/><Relationship Id="rId11" Type="http://schemas.openxmlformats.org/officeDocument/2006/relationships/queryTable" Target="../queryTables/queryTable23.xml"/><Relationship Id="rId5" Type="http://schemas.openxmlformats.org/officeDocument/2006/relationships/queryTable" Target="../queryTables/queryTable17.xml"/><Relationship Id="rId10" Type="http://schemas.openxmlformats.org/officeDocument/2006/relationships/queryTable" Target="../queryTables/queryTable22.xml"/><Relationship Id="rId4" Type="http://schemas.openxmlformats.org/officeDocument/2006/relationships/queryTable" Target="../queryTables/queryTable16.xml"/><Relationship Id="rId9" Type="http://schemas.openxmlformats.org/officeDocument/2006/relationships/queryTable" Target="../queryTables/queryTable21.xml"/><Relationship Id="rId14" Type="http://schemas.openxmlformats.org/officeDocument/2006/relationships/queryTable" Target="../queryTables/queryTable2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33.xml"/><Relationship Id="rId13" Type="http://schemas.openxmlformats.org/officeDocument/2006/relationships/queryTable" Target="../queryTables/queryTable38.xml"/><Relationship Id="rId3" Type="http://schemas.openxmlformats.org/officeDocument/2006/relationships/queryTable" Target="../queryTables/queryTable28.xml"/><Relationship Id="rId7" Type="http://schemas.openxmlformats.org/officeDocument/2006/relationships/queryTable" Target="../queryTables/queryTable32.xml"/><Relationship Id="rId12" Type="http://schemas.openxmlformats.org/officeDocument/2006/relationships/queryTable" Target="../queryTables/queryTable37.xml"/><Relationship Id="rId2" Type="http://schemas.openxmlformats.org/officeDocument/2006/relationships/queryTable" Target="../queryTables/queryTable27.xml"/><Relationship Id="rId1" Type="http://schemas.openxmlformats.org/officeDocument/2006/relationships/drawing" Target="../drawings/drawing3.xml"/><Relationship Id="rId6" Type="http://schemas.openxmlformats.org/officeDocument/2006/relationships/queryTable" Target="../queryTables/queryTable31.xml"/><Relationship Id="rId11" Type="http://schemas.openxmlformats.org/officeDocument/2006/relationships/queryTable" Target="../queryTables/queryTable36.xml"/><Relationship Id="rId5" Type="http://schemas.openxmlformats.org/officeDocument/2006/relationships/queryTable" Target="../queryTables/queryTable30.xml"/><Relationship Id="rId10" Type="http://schemas.openxmlformats.org/officeDocument/2006/relationships/queryTable" Target="../queryTables/queryTable35.xml"/><Relationship Id="rId4" Type="http://schemas.openxmlformats.org/officeDocument/2006/relationships/queryTable" Target="../queryTables/queryTable29.xml"/><Relationship Id="rId9" Type="http://schemas.openxmlformats.org/officeDocument/2006/relationships/queryTable" Target="../queryTables/queryTable34.xml"/><Relationship Id="rId14" Type="http://schemas.openxmlformats.org/officeDocument/2006/relationships/queryTable" Target="../queryTables/queryTable3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46.xml"/><Relationship Id="rId13" Type="http://schemas.openxmlformats.org/officeDocument/2006/relationships/queryTable" Target="../queryTables/queryTable51.xml"/><Relationship Id="rId3" Type="http://schemas.openxmlformats.org/officeDocument/2006/relationships/queryTable" Target="../queryTables/queryTable41.xml"/><Relationship Id="rId7" Type="http://schemas.openxmlformats.org/officeDocument/2006/relationships/queryTable" Target="../queryTables/queryTable45.xml"/><Relationship Id="rId12" Type="http://schemas.openxmlformats.org/officeDocument/2006/relationships/queryTable" Target="../queryTables/queryTable50.xml"/><Relationship Id="rId2" Type="http://schemas.openxmlformats.org/officeDocument/2006/relationships/queryTable" Target="../queryTables/queryTable40.xml"/><Relationship Id="rId1" Type="http://schemas.openxmlformats.org/officeDocument/2006/relationships/drawing" Target="../drawings/drawing4.xml"/><Relationship Id="rId6" Type="http://schemas.openxmlformats.org/officeDocument/2006/relationships/queryTable" Target="../queryTables/queryTable44.xml"/><Relationship Id="rId11" Type="http://schemas.openxmlformats.org/officeDocument/2006/relationships/queryTable" Target="../queryTables/queryTable49.xml"/><Relationship Id="rId5" Type="http://schemas.openxmlformats.org/officeDocument/2006/relationships/queryTable" Target="../queryTables/queryTable43.xml"/><Relationship Id="rId10" Type="http://schemas.openxmlformats.org/officeDocument/2006/relationships/queryTable" Target="../queryTables/queryTable48.xml"/><Relationship Id="rId4" Type="http://schemas.openxmlformats.org/officeDocument/2006/relationships/queryTable" Target="../queryTables/queryTable42.xml"/><Relationship Id="rId9" Type="http://schemas.openxmlformats.org/officeDocument/2006/relationships/queryTable" Target="../queryTables/queryTable47.xml"/><Relationship Id="rId14" Type="http://schemas.openxmlformats.org/officeDocument/2006/relationships/queryTable" Target="../queryTables/queryTable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AA9B-99AA-5348-9ECA-250271A2CD24}">
  <dimension ref="A1:P14"/>
  <sheetViews>
    <sheetView workbookViewId="0">
      <selection activeCell="L35" sqref="L35"/>
    </sheetView>
  </sheetViews>
  <sheetFormatPr baseColWidth="10" defaultColWidth="10.6640625" defaultRowHeight="16" x14ac:dyDescent="0.2"/>
  <cols>
    <col min="1" max="1" width="10.6640625" style="1"/>
    <col min="2" max="3" width="8.5" style="1" bestFit="1" customWidth="1"/>
    <col min="4" max="4" width="6.6640625" style="1" bestFit="1" customWidth="1"/>
    <col min="5" max="5" width="5.83203125" style="1" bestFit="1" customWidth="1"/>
    <col min="6" max="8" width="6.6640625" style="1" bestFit="1" customWidth="1"/>
    <col min="9" max="9" width="5.83203125" style="1" bestFit="1" customWidth="1"/>
    <col min="10" max="12" width="6.6640625" style="1" bestFit="1" customWidth="1"/>
    <col min="13" max="13" width="6.83203125" style="1" bestFit="1" customWidth="1"/>
    <col min="14" max="16384" width="10.6640625" style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14</v>
      </c>
      <c r="P1" s="1" t="s">
        <v>15</v>
      </c>
    </row>
    <row r="2" spans="1:16" x14ac:dyDescent="0.2">
      <c r="A2" s="1">
        <v>0</v>
      </c>
      <c r="B2" s="1" t="s">
        <v>16</v>
      </c>
      <c r="C2" s="2">
        <v>0.60752314814814812</v>
      </c>
      <c r="D2" s="1">
        <v>0.59199999999999997</v>
      </c>
      <c r="E2" s="1">
        <v>0.56299999999999994</v>
      </c>
      <c r="F2" s="1">
        <v>0.59</v>
      </c>
      <c r="G2" s="1">
        <v>0.56000000000000005</v>
      </c>
      <c r="H2" s="1">
        <v>0.56100000000000005</v>
      </c>
      <c r="I2" s="1">
        <v>0.56999999999999995</v>
      </c>
      <c r="J2" s="1">
        <v>0.56200000000000006</v>
      </c>
      <c r="K2" s="1">
        <v>0.57699999999999996</v>
      </c>
      <c r="L2" s="1">
        <v>0.59899999999999998</v>
      </c>
      <c r="M2" s="1">
        <v>0.59699999999999998</v>
      </c>
      <c r="O2" s="3">
        <f t="shared" ref="O2:O14" si="0">AVERAGE(D2:M2)</f>
        <v>0.57709999999999995</v>
      </c>
      <c r="P2" s="3">
        <f t="shared" ref="P2:P14" si="1">STDEV(D2:M2)</f>
        <v>1.5961411800547783E-2</v>
      </c>
    </row>
    <row r="3" spans="1:16" x14ac:dyDescent="0.2">
      <c r="A3" s="1">
        <v>5</v>
      </c>
      <c r="B3" s="1" t="s">
        <v>16</v>
      </c>
      <c r="C3" s="2">
        <v>0.6097569444444445</v>
      </c>
      <c r="D3" s="1">
        <v>0.66800000000000004</v>
      </c>
      <c r="E3" s="1">
        <v>0.65200000000000002</v>
      </c>
      <c r="F3" s="1">
        <v>0.64100000000000001</v>
      </c>
      <c r="G3" s="1">
        <v>0.65900000000000003</v>
      </c>
      <c r="H3" s="1">
        <v>0.66</v>
      </c>
      <c r="I3" s="1">
        <v>0.629</v>
      </c>
      <c r="J3" s="1">
        <v>0.63900000000000001</v>
      </c>
      <c r="K3" s="1">
        <v>0.629</v>
      </c>
      <c r="L3" s="1">
        <v>0.68</v>
      </c>
      <c r="M3" s="1">
        <v>0.66700000000000004</v>
      </c>
      <c r="O3" s="3">
        <f t="shared" si="0"/>
        <v>0.65239999999999987</v>
      </c>
      <c r="P3" s="3">
        <f t="shared" si="1"/>
        <v>1.7398595090153447E-2</v>
      </c>
    </row>
    <row r="4" spans="1:16" x14ac:dyDescent="0.2">
      <c r="A4" s="1">
        <v>10</v>
      </c>
      <c r="B4" s="1" t="s">
        <v>16</v>
      </c>
      <c r="C4" s="2">
        <v>0.61194444444444451</v>
      </c>
      <c r="D4" s="1">
        <v>0.64800000000000002</v>
      </c>
      <c r="E4" s="1">
        <v>0.63800000000000001</v>
      </c>
      <c r="F4" s="1">
        <v>0.67100000000000004</v>
      </c>
      <c r="G4" s="1">
        <v>0.67400000000000004</v>
      </c>
      <c r="H4" s="1">
        <v>0.61499999999999999</v>
      </c>
      <c r="I4" s="1">
        <v>0.629</v>
      </c>
      <c r="J4" s="1">
        <v>0.66300000000000003</v>
      </c>
      <c r="K4" s="1">
        <v>0.65900000000000003</v>
      </c>
      <c r="L4" s="1">
        <v>0.68600000000000005</v>
      </c>
      <c r="M4" s="1">
        <v>0.63400000000000001</v>
      </c>
      <c r="O4" s="3">
        <f t="shared" si="0"/>
        <v>0.65170000000000006</v>
      </c>
      <c r="P4" s="3">
        <f t="shared" si="1"/>
        <v>2.2617839566737304E-2</v>
      </c>
    </row>
    <row r="5" spans="1:16" x14ac:dyDescent="0.2">
      <c r="A5" s="1">
        <v>20</v>
      </c>
      <c r="B5" s="1" t="s">
        <v>16</v>
      </c>
      <c r="C5" s="2">
        <v>0.61387731481481478</v>
      </c>
      <c r="D5" s="1">
        <v>0.64700000000000002</v>
      </c>
      <c r="E5" s="1">
        <v>0.63900000000000001</v>
      </c>
      <c r="F5" s="1">
        <v>0.622</v>
      </c>
      <c r="G5" s="1">
        <v>0.65</v>
      </c>
      <c r="H5" s="1">
        <v>0.57599999999999996</v>
      </c>
      <c r="I5" s="1">
        <v>0.58299999999999996</v>
      </c>
      <c r="J5" s="1">
        <v>0.65600000000000003</v>
      </c>
      <c r="K5" s="1">
        <v>0.66</v>
      </c>
      <c r="L5" s="1">
        <v>0.63500000000000001</v>
      </c>
      <c r="M5" s="1">
        <v>0.63300000000000001</v>
      </c>
      <c r="O5" s="3">
        <f t="shared" si="0"/>
        <v>0.63009999999999988</v>
      </c>
      <c r="P5" s="3">
        <f t="shared" si="1"/>
        <v>2.8999808428486047E-2</v>
      </c>
    </row>
    <row r="6" spans="1:16" x14ac:dyDescent="0.2">
      <c r="A6" s="1">
        <v>30</v>
      </c>
      <c r="B6" s="1" t="s">
        <v>16</v>
      </c>
      <c r="C6" s="2">
        <v>0.6159027777777778</v>
      </c>
      <c r="D6" s="1">
        <v>0.65100000000000002</v>
      </c>
      <c r="E6" s="1">
        <v>0.65700000000000003</v>
      </c>
      <c r="F6" s="1">
        <v>0.64900000000000002</v>
      </c>
      <c r="G6" s="1">
        <v>0.67</v>
      </c>
      <c r="H6" s="1">
        <v>0.64600000000000002</v>
      </c>
      <c r="I6" s="1">
        <v>0.65300000000000002</v>
      </c>
      <c r="J6" s="1">
        <v>0.67600000000000005</v>
      </c>
      <c r="K6" s="1">
        <v>0.65700000000000003</v>
      </c>
      <c r="L6" s="1">
        <v>0.64100000000000001</v>
      </c>
      <c r="M6" s="1">
        <v>0.64300000000000002</v>
      </c>
      <c r="O6" s="3">
        <f t="shared" si="0"/>
        <v>0.65429999999999999</v>
      </c>
      <c r="P6" s="3">
        <f t="shared" si="1"/>
        <v>1.1284699572626853E-2</v>
      </c>
    </row>
    <row r="7" spans="1:16" x14ac:dyDescent="0.2">
      <c r="A7" s="1">
        <v>34</v>
      </c>
      <c r="B7" s="1" t="s">
        <v>16</v>
      </c>
      <c r="C7" s="2">
        <v>0.61810185185185185</v>
      </c>
      <c r="D7" s="1">
        <v>0.65600000000000003</v>
      </c>
      <c r="E7" s="1">
        <v>0.65600000000000003</v>
      </c>
      <c r="F7" s="1">
        <v>0.623</v>
      </c>
      <c r="G7" s="1">
        <v>0.627</v>
      </c>
      <c r="H7" s="1">
        <v>0.64600000000000002</v>
      </c>
      <c r="I7" s="1">
        <v>0.64</v>
      </c>
      <c r="J7" s="1">
        <v>0.62</v>
      </c>
      <c r="K7" s="1">
        <v>0.61699999999999999</v>
      </c>
      <c r="L7" s="1">
        <v>0.59299999999999997</v>
      </c>
      <c r="M7" s="1">
        <v>0.59899999999999998</v>
      </c>
      <c r="O7" s="3">
        <f t="shared" si="0"/>
        <v>0.62770000000000004</v>
      </c>
      <c r="P7" s="3">
        <f t="shared" si="1"/>
        <v>2.1888860688081119E-2</v>
      </c>
    </row>
    <row r="8" spans="1:16" x14ac:dyDescent="0.2">
      <c r="A8" s="1">
        <v>40</v>
      </c>
      <c r="B8" s="1" t="s">
        <v>16</v>
      </c>
      <c r="C8" s="2">
        <v>0.62020833333333336</v>
      </c>
      <c r="D8" s="1">
        <v>0.68300000000000005</v>
      </c>
      <c r="E8" s="1">
        <v>0.67500000000000004</v>
      </c>
      <c r="F8" s="1">
        <v>0.63300000000000001</v>
      </c>
      <c r="G8" s="1">
        <v>0.628</v>
      </c>
      <c r="H8" s="1">
        <v>0.64200000000000002</v>
      </c>
      <c r="I8" s="1">
        <v>0.63100000000000001</v>
      </c>
      <c r="J8" s="1">
        <v>0.624</v>
      </c>
      <c r="K8" s="1">
        <v>0.61599999999999999</v>
      </c>
      <c r="L8" s="1">
        <v>0.65</v>
      </c>
      <c r="M8" s="1">
        <v>0.64300000000000002</v>
      </c>
      <c r="O8" s="3">
        <f t="shared" si="0"/>
        <v>0.64249999999999996</v>
      </c>
      <c r="P8" s="3">
        <f t="shared" si="1"/>
        <v>2.1680764644162263E-2</v>
      </c>
    </row>
    <row r="9" spans="1:16" x14ac:dyDescent="0.2">
      <c r="A9" s="1">
        <v>50</v>
      </c>
      <c r="B9" s="1" t="s">
        <v>16</v>
      </c>
      <c r="C9" s="2">
        <v>0.62222222222222223</v>
      </c>
      <c r="D9" s="1">
        <v>0.63300000000000001</v>
      </c>
      <c r="E9" s="1">
        <v>0.625</v>
      </c>
      <c r="F9" s="1">
        <v>0.64700000000000002</v>
      </c>
      <c r="G9" s="1">
        <v>0.63300000000000001</v>
      </c>
      <c r="H9" s="1">
        <v>0.58599999999999997</v>
      </c>
      <c r="I9" s="1">
        <v>0.56499999999999995</v>
      </c>
      <c r="J9" s="1">
        <v>0.622</v>
      </c>
      <c r="K9" s="1">
        <v>0.623</v>
      </c>
      <c r="L9" s="1">
        <v>0.60599999999999998</v>
      </c>
      <c r="M9" s="1">
        <v>0.61399999999999999</v>
      </c>
      <c r="O9" s="3">
        <f t="shared" si="0"/>
        <v>0.61539999999999995</v>
      </c>
      <c r="P9" s="3">
        <f t="shared" si="1"/>
        <v>2.4281680337241922E-2</v>
      </c>
    </row>
    <row r="10" spans="1:16" x14ac:dyDescent="0.2">
      <c r="A10" s="1">
        <v>60</v>
      </c>
      <c r="B10" s="1" t="s">
        <v>16</v>
      </c>
      <c r="C10" s="2">
        <v>0.6244791666666667</v>
      </c>
      <c r="D10" s="1">
        <v>0.65200000000000002</v>
      </c>
      <c r="E10" s="1">
        <v>0.66</v>
      </c>
      <c r="F10" s="1">
        <v>0.623</v>
      </c>
      <c r="G10" s="1">
        <v>0.61399999999999999</v>
      </c>
      <c r="H10" s="1">
        <v>0.61499999999999999</v>
      </c>
      <c r="I10" s="1">
        <v>0.61299999999999999</v>
      </c>
      <c r="J10" s="1">
        <v>0.58599999999999997</v>
      </c>
      <c r="K10" s="1">
        <v>0.61499999999999999</v>
      </c>
      <c r="L10" s="1">
        <v>0.627</v>
      </c>
      <c r="M10" s="1">
        <v>0.60499999999999998</v>
      </c>
      <c r="O10" s="3">
        <f t="shared" si="0"/>
        <v>0.62099999999999989</v>
      </c>
      <c r="P10" s="3">
        <f t="shared" si="1"/>
        <v>2.1571586249817934E-2</v>
      </c>
    </row>
    <row r="11" spans="1:16" x14ac:dyDescent="0.2">
      <c r="A11" s="1">
        <v>70</v>
      </c>
      <c r="B11" s="1" t="s">
        <v>16</v>
      </c>
      <c r="C11" s="2">
        <v>0.6265856481481481</v>
      </c>
      <c r="D11" s="1">
        <v>0.65600000000000003</v>
      </c>
      <c r="E11" s="1">
        <v>0.64400000000000002</v>
      </c>
      <c r="F11" s="1">
        <v>0.59499999999999997</v>
      </c>
      <c r="G11" s="1">
        <v>0.57599999999999996</v>
      </c>
      <c r="H11" s="1">
        <v>0.59</v>
      </c>
      <c r="I11" s="1">
        <v>0.58699999999999997</v>
      </c>
      <c r="J11" s="1">
        <v>0.624</v>
      </c>
      <c r="K11" s="1">
        <v>0.60599999999999998</v>
      </c>
      <c r="L11" s="1">
        <v>0.58799999999999997</v>
      </c>
      <c r="M11" s="1">
        <v>0.60299999999999998</v>
      </c>
      <c r="O11" s="3">
        <f t="shared" si="0"/>
        <v>0.60689999999999988</v>
      </c>
      <c r="P11" s="3">
        <f t="shared" si="1"/>
        <v>2.6312016688620113E-2</v>
      </c>
    </row>
    <row r="12" spans="1:16" x14ac:dyDescent="0.2">
      <c r="A12" s="1">
        <v>80</v>
      </c>
      <c r="B12" s="1" t="s">
        <v>16</v>
      </c>
      <c r="C12" s="2">
        <v>0.62854166666666667</v>
      </c>
      <c r="D12" s="1">
        <v>0.58299999999999996</v>
      </c>
      <c r="E12" s="1">
        <v>0.6</v>
      </c>
      <c r="F12" s="1">
        <v>0.61499999999999999</v>
      </c>
      <c r="G12" s="1">
        <v>0.60699999999999998</v>
      </c>
      <c r="H12" s="1">
        <v>0.624</v>
      </c>
      <c r="I12" s="1">
        <v>0.622</v>
      </c>
      <c r="J12" s="1">
        <v>0.60899999999999999</v>
      </c>
      <c r="K12" s="1">
        <v>0.59799999999999998</v>
      </c>
      <c r="L12" s="1">
        <v>0.58199999999999996</v>
      </c>
      <c r="M12" s="1">
        <v>0.55800000000000005</v>
      </c>
      <c r="O12" s="3">
        <f t="shared" si="0"/>
        <v>0.59979999999999989</v>
      </c>
      <c r="P12" s="3">
        <f t="shared" si="1"/>
        <v>2.0536146993370811E-2</v>
      </c>
    </row>
    <row r="13" spans="1:16" x14ac:dyDescent="0.2">
      <c r="A13" s="1">
        <v>90</v>
      </c>
      <c r="B13" s="1" t="s">
        <v>16</v>
      </c>
      <c r="C13" s="2">
        <v>0.63043981481481481</v>
      </c>
      <c r="D13" s="1">
        <v>0.56299999999999994</v>
      </c>
      <c r="E13" s="1">
        <v>0.56499999999999995</v>
      </c>
      <c r="F13" s="1">
        <v>0.52400000000000002</v>
      </c>
      <c r="G13" s="1">
        <v>0.45100000000000001</v>
      </c>
      <c r="H13" s="1">
        <v>0.46200000000000002</v>
      </c>
      <c r="I13" s="1">
        <v>0.56899999999999995</v>
      </c>
      <c r="J13" s="1">
        <v>0.58499999999999996</v>
      </c>
      <c r="K13" s="1">
        <v>0.5</v>
      </c>
      <c r="L13" s="1">
        <v>0.53800000000000003</v>
      </c>
      <c r="M13" s="1">
        <v>0.54200000000000004</v>
      </c>
      <c r="O13" s="3">
        <f t="shared" si="0"/>
        <v>0.52989999999999993</v>
      </c>
      <c r="P13" s="3">
        <f t="shared" si="1"/>
        <v>4.578803822445817E-2</v>
      </c>
    </row>
    <row r="14" spans="1:16" x14ac:dyDescent="0.2">
      <c r="A14" s="1">
        <v>100</v>
      </c>
      <c r="B14" s="1" t="s">
        <v>16</v>
      </c>
      <c r="C14" s="2">
        <v>0.63268518518518524</v>
      </c>
      <c r="D14" s="1">
        <v>0.499</v>
      </c>
      <c r="E14" s="1">
        <v>0.48</v>
      </c>
      <c r="F14" s="1">
        <v>0.40400000000000003</v>
      </c>
      <c r="G14" s="1">
        <v>0.433</v>
      </c>
      <c r="H14" s="1">
        <v>0.48799999999999999</v>
      </c>
      <c r="I14" s="1">
        <v>0.48</v>
      </c>
      <c r="J14" s="1">
        <v>0.49399999999999999</v>
      </c>
      <c r="K14" s="1">
        <v>0.47799999999999998</v>
      </c>
      <c r="L14" s="1">
        <v>0.45600000000000002</v>
      </c>
      <c r="M14" s="1">
        <v>0.46600000000000003</v>
      </c>
      <c r="O14" s="3">
        <f t="shared" si="0"/>
        <v>0.4678000000000001</v>
      </c>
      <c r="P14" s="3">
        <f t="shared" si="1"/>
        <v>2.9615311355220733E-2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3E49-6234-3540-B091-EE8E91359455}">
  <dimension ref="A1:P14"/>
  <sheetViews>
    <sheetView workbookViewId="0">
      <selection activeCell="O1" sqref="O1:P1048576"/>
    </sheetView>
  </sheetViews>
  <sheetFormatPr baseColWidth="10" defaultColWidth="10.6640625" defaultRowHeight="16" x14ac:dyDescent="0.2"/>
  <cols>
    <col min="1" max="1" width="10.6640625" style="1"/>
    <col min="2" max="3" width="8.5" style="1" bestFit="1" customWidth="1"/>
    <col min="4" max="4" width="6.6640625" style="1" bestFit="1" customWidth="1"/>
    <col min="5" max="5" width="5.83203125" style="1" bestFit="1" customWidth="1"/>
    <col min="6" max="10" width="6.6640625" style="1" bestFit="1" customWidth="1"/>
    <col min="11" max="11" width="5.83203125" style="1" bestFit="1" customWidth="1"/>
    <col min="12" max="12" width="6.6640625" style="1" bestFit="1" customWidth="1"/>
    <col min="13" max="13" width="6.83203125" style="1" bestFit="1" customWidth="1"/>
    <col min="14" max="16384" width="10.6640625" style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14</v>
      </c>
      <c r="P1" s="1" t="s">
        <v>15</v>
      </c>
    </row>
    <row r="2" spans="1:16" x14ac:dyDescent="0.2">
      <c r="A2" s="1">
        <v>0</v>
      </c>
      <c r="B2" s="1" t="s">
        <v>13</v>
      </c>
      <c r="C2" s="2">
        <v>0.63717592592592587</v>
      </c>
      <c r="D2" s="1">
        <v>0.53100000000000003</v>
      </c>
      <c r="E2" s="1">
        <v>0.54600000000000004</v>
      </c>
      <c r="F2" s="1">
        <v>0.58899999999999997</v>
      </c>
      <c r="G2" s="1">
        <v>0.58099999999999996</v>
      </c>
      <c r="H2" s="1">
        <v>0.57499999999999996</v>
      </c>
      <c r="I2" s="1">
        <v>0.55900000000000005</v>
      </c>
      <c r="J2" s="1">
        <v>0.52800000000000002</v>
      </c>
      <c r="K2" s="1">
        <v>0.53700000000000003</v>
      </c>
      <c r="L2" s="1">
        <v>0.57799999999999996</v>
      </c>
      <c r="M2" s="1">
        <v>0.56399999999999995</v>
      </c>
      <c r="O2" s="3">
        <f t="shared" ref="O2:O12" si="0">AVERAGE(D2:M2)</f>
        <v>0.55880000000000007</v>
      </c>
      <c r="P2" s="3">
        <f t="shared" ref="P2:P12" si="1">STDEV(D2:M2)</f>
        <v>2.217004986713178E-2</v>
      </c>
    </row>
    <row r="3" spans="1:16" x14ac:dyDescent="0.2">
      <c r="A3" s="1">
        <v>5</v>
      </c>
      <c r="B3" s="1" t="s">
        <v>13</v>
      </c>
      <c r="C3" s="2">
        <v>0.63905092592592594</v>
      </c>
      <c r="D3" s="1">
        <v>0.69699999999999995</v>
      </c>
      <c r="E3" s="1">
        <v>0.69399999999999995</v>
      </c>
      <c r="F3" s="1">
        <v>0.68200000000000005</v>
      </c>
      <c r="G3" s="1">
        <v>0.68100000000000005</v>
      </c>
      <c r="H3" s="1">
        <v>0.68200000000000005</v>
      </c>
      <c r="I3" s="1">
        <v>0.66900000000000004</v>
      </c>
      <c r="J3" s="1">
        <v>0.66700000000000004</v>
      </c>
      <c r="K3" s="1">
        <v>0.65400000000000003</v>
      </c>
      <c r="L3" s="1">
        <v>0.66400000000000003</v>
      </c>
      <c r="M3" s="1">
        <v>0.65200000000000002</v>
      </c>
      <c r="O3" s="3">
        <f t="shared" si="0"/>
        <v>0.67420000000000002</v>
      </c>
      <c r="P3" s="3">
        <f t="shared" si="1"/>
        <v>1.5504837954651426E-2</v>
      </c>
    </row>
    <row r="4" spans="1:16" x14ac:dyDescent="0.2">
      <c r="A4" s="1">
        <v>10</v>
      </c>
      <c r="B4" s="1" t="s">
        <v>13</v>
      </c>
      <c r="C4" s="2">
        <v>0.64116898148148149</v>
      </c>
      <c r="D4" s="1">
        <v>0.66400000000000003</v>
      </c>
      <c r="E4" s="1">
        <v>0.66800000000000004</v>
      </c>
      <c r="F4" s="1">
        <v>0.63400000000000001</v>
      </c>
      <c r="G4" s="1">
        <v>0.61599999999999999</v>
      </c>
      <c r="H4" s="1">
        <v>0.60099999999999998</v>
      </c>
      <c r="I4" s="1">
        <v>0.61499999999999999</v>
      </c>
      <c r="J4" s="1">
        <v>0.68600000000000005</v>
      </c>
      <c r="K4" s="1">
        <v>0.67200000000000004</v>
      </c>
      <c r="L4" s="1">
        <v>0.64700000000000002</v>
      </c>
      <c r="M4" s="1">
        <v>0.65500000000000003</v>
      </c>
      <c r="O4" s="3">
        <f t="shared" si="0"/>
        <v>0.64580000000000004</v>
      </c>
      <c r="P4" s="3">
        <f t="shared" si="1"/>
        <v>2.8275627510474678E-2</v>
      </c>
    </row>
    <row r="5" spans="1:16" x14ac:dyDescent="0.2">
      <c r="A5" s="1">
        <v>20</v>
      </c>
      <c r="B5" s="1" t="s">
        <v>13</v>
      </c>
      <c r="C5" s="2">
        <v>0.64311342592592591</v>
      </c>
      <c r="D5" s="1">
        <v>0.64300000000000002</v>
      </c>
      <c r="E5" s="1">
        <v>0.66</v>
      </c>
      <c r="F5" s="1">
        <v>0.64100000000000001</v>
      </c>
      <c r="G5" s="1">
        <v>0.66100000000000003</v>
      </c>
      <c r="H5" s="1">
        <v>0.66900000000000004</v>
      </c>
      <c r="I5" s="1">
        <v>0.65300000000000002</v>
      </c>
      <c r="J5" s="1">
        <v>0.64400000000000002</v>
      </c>
      <c r="K5" s="1">
        <v>0.65600000000000003</v>
      </c>
      <c r="L5" s="1">
        <v>0.623</v>
      </c>
      <c r="M5" s="1">
        <v>0.63100000000000001</v>
      </c>
      <c r="O5" s="3">
        <f t="shared" si="0"/>
        <v>0.64810000000000001</v>
      </c>
      <c r="P5" s="3">
        <f t="shared" si="1"/>
        <v>1.4325191486019007E-2</v>
      </c>
    </row>
    <row r="6" spans="1:16" x14ac:dyDescent="0.2">
      <c r="A6" s="1">
        <v>30</v>
      </c>
      <c r="B6" s="1" t="s">
        <v>13</v>
      </c>
      <c r="C6" s="2">
        <v>0.64502314814814821</v>
      </c>
      <c r="D6" s="1">
        <v>0.60399999999999998</v>
      </c>
      <c r="E6" s="1">
        <v>0.60399999999999998</v>
      </c>
      <c r="F6" s="1">
        <v>0.65</v>
      </c>
      <c r="G6" s="1">
        <v>0.62</v>
      </c>
      <c r="H6" s="1">
        <v>0.627</v>
      </c>
      <c r="I6" s="1">
        <v>0.63100000000000001</v>
      </c>
      <c r="J6" s="1">
        <v>0.64300000000000002</v>
      </c>
      <c r="K6" s="1">
        <v>0.63400000000000001</v>
      </c>
      <c r="L6" s="1">
        <v>0.627</v>
      </c>
      <c r="M6" s="1">
        <v>0.62</v>
      </c>
      <c r="O6" s="3">
        <f t="shared" si="0"/>
        <v>0.62600000000000011</v>
      </c>
      <c r="P6" s="3">
        <f t="shared" si="1"/>
        <v>1.4892205269125797E-2</v>
      </c>
    </row>
    <row r="7" spans="1:16" x14ac:dyDescent="0.2">
      <c r="A7" s="1">
        <v>34</v>
      </c>
      <c r="B7" s="1" t="s">
        <v>13</v>
      </c>
      <c r="C7" s="2">
        <v>0.64701388888888889</v>
      </c>
      <c r="D7" s="1">
        <v>0.65600000000000003</v>
      </c>
      <c r="E7" s="1">
        <v>0.64300000000000002</v>
      </c>
      <c r="F7" s="1">
        <v>0.57799999999999996</v>
      </c>
      <c r="G7" s="1">
        <v>0.60599999999999998</v>
      </c>
      <c r="H7" s="1">
        <v>0.64900000000000002</v>
      </c>
      <c r="I7" s="1">
        <v>0.64800000000000002</v>
      </c>
      <c r="J7" s="1">
        <v>0.624</v>
      </c>
      <c r="K7" s="1">
        <v>0.626</v>
      </c>
      <c r="L7" s="1">
        <v>0.626</v>
      </c>
      <c r="M7" s="1">
        <v>0.622</v>
      </c>
      <c r="O7" s="3">
        <f t="shared" si="0"/>
        <v>0.62780000000000002</v>
      </c>
      <c r="P7" s="3">
        <f t="shared" si="1"/>
        <v>2.3318090259138596E-2</v>
      </c>
    </row>
    <row r="8" spans="1:16" x14ac:dyDescent="0.2">
      <c r="A8" s="1">
        <v>40</v>
      </c>
      <c r="B8" s="1" t="s">
        <v>13</v>
      </c>
      <c r="C8" s="2">
        <v>0.6486574074074074</v>
      </c>
      <c r="D8" s="1">
        <v>0.624</v>
      </c>
      <c r="E8" s="1">
        <v>0.64400000000000002</v>
      </c>
      <c r="F8" s="1">
        <v>0.66900000000000004</v>
      </c>
      <c r="G8" s="1">
        <v>0.65700000000000003</v>
      </c>
      <c r="H8" s="1">
        <v>0.625</v>
      </c>
      <c r="I8" s="1">
        <v>0.62</v>
      </c>
      <c r="J8" s="1">
        <v>0.65300000000000002</v>
      </c>
      <c r="K8" s="1">
        <v>0.64800000000000002</v>
      </c>
      <c r="L8" s="1">
        <v>0.64800000000000002</v>
      </c>
      <c r="M8" s="1">
        <v>0.64</v>
      </c>
      <c r="O8" s="3">
        <f t="shared" si="0"/>
        <v>0.64280000000000004</v>
      </c>
      <c r="P8" s="3">
        <f t="shared" si="1"/>
        <v>1.5795920711092201E-2</v>
      </c>
    </row>
    <row r="9" spans="1:16" x14ac:dyDescent="0.2">
      <c r="A9" s="1">
        <v>50</v>
      </c>
      <c r="B9" s="1" t="s">
        <v>13</v>
      </c>
      <c r="C9" s="2">
        <v>0.65072916666666669</v>
      </c>
      <c r="D9" s="1">
        <v>0.65900000000000003</v>
      </c>
      <c r="E9" s="1">
        <v>0.64800000000000002</v>
      </c>
      <c r="F9" s="1">
        <v>0.63900000000000001</v>
      </c>
      <c r="G9" s="1">
        <v>0.64700000000000002</v>
      </c>
      <c r="H9" s="1">
        <v>0.59899999999999998</v>
      </c>
      <c r="I9" s="1">
        <v>0.57499999999999996</v>
      </c>
      <c r="J9" s="1">
        <v>0.64100000000000001</v>
      </c>
      <c r="K9" s="1">
        <v>0.64</v>
      </c>
      <c r="L9" s="1">
        <v>0.628</v>
      </c>
      <c r="M9" s="1">
        <v>0.61599999999999999</v>
      </c>
      <c r="O9" s="3">
        <f t="shared" si="0"/>
        <v>0.62919999999999998</v>
      </c>
      <c r="P9" s="3">
        <f t="shared" si="1"/>
        <v>2.5680948407547418E-2</v>
      </c>
    </row>
    <row r="10" spans="1:16" x14ac:dyDescent="0.2">
      <c r="A10" s="1">
        <v>60</v>
      </c>
      <c r="B10" s="1" t="s">
        <v>13</v>
      </c>
      <c r="C10" s="2">
        <v>0.65282407407407406</v>
      </c>
      <c r="D10" s="1">
        <v>0.629</v>
      </c>
      <c r="E10" s="1">
        <v>0.63600000000000001</v>
      </c>
      <c r="F10" s="1">
        <v>0.63200000000000001</v>
      </c>
      <c r="G10" s="1">
        <v>0.63700000000000001</v>
      </c>
      <c r="H10" s="1">
        <v>0.61499999999999999</v>
      </c>
      <c r="I10" s="1">
        <v>0.627</v>
      </c>
      <c r="J10" s="1">
        <v>0.59199999999999997</v>
      </c>
      <c r="K10" s="1">
        <v>0.59399999999999997</v>
      </c>
      <c r="L10" s="1">
        <v>0.61499999999999999</v>
      </c>
      <c r="M10" s="1">
        <v>0.61199999999999999</v>
      </c>
      <c r="O10" s="3">
        <f t="shared" si="0"/>
        <v>0.61890000000000001</v>
      </c>
      <c r="P10" s="3">
        <f t="shared" si="1"/>
        <v>1.6264822299811486E-2</v>
      </c>
    </row>
    <row r="11" spans="1:16" x14ac:dyDescent="0.2">
      <c r="A11" s="1">
        <v>70</v>
      </c>
      <c r="B11" s="1" t="s">
        <v>13</v>
      </c>
      <c r="C11" s="2">
        <v>0.65449074074074076</v>
      </c>
      <c r="D11" s="1">
        <v>0.63500000000000001</v>
      </c>
      <c r="E11" s="1">
        <v>0.63800000000000001</v>
      </c>
      <c r="F11" s="1">
        <v>0.63200000000000001</v>
      </c>
      <c r="G11" s="1">
        <v>0.63200000000000001</v>
      </c>
      <c r="H11" s="1">
        <v>0.63400000000000001</v>
      </c>
      <c r="I11" s="1">
        <v>0.61899999999999999</v>
      </c>
      <c r="J11" s="1">
        <v>0.58399999999999996</v>
      </c>
      <c r="K11" s="1">
        <v>0.57399999999999995</v>
      </c>
      <c r="L11" s="1">
        <v>0.64</v>
      </c>
      <c r="M11" s="1">
        <v>0.626</v>
      </c>
      <c r="O11" s="3">
        <f t="shared" si="0"/>
        <v>0.62139999999999995</v>
      </c>
      <c r="P11" s="3">
        <f t="shared" si="1"/>
        <v>2.3243637122160283E-2</v>
      </c>
    </row>
    <row r="12" spans="1:16" x14ac:dyDescent="0.2">
      <c r="A12" s="1">
        <v>80</v>
      </c>
      <c r="B12" s="1" t="s">
        <v>13</v>
      </c>
      <c r="C12" s="2">
        <v>0.65614583333333332</v>
      </c>
      <c r="D12" s="1">
        <v>0.63</v>
      </c>
      <c r="E12" s="1">
        <v>0.624</v>
      </c>
      <c r="F12" s="1">
        <v>0.60399999999999998</v>
      </c>
      <c r="G12" s="1">
        <v>0.59399999999999997</v>
      </c>
      <c r="H12" s="1">
        <v>0.60299999999999998</v>
      </c>
      <c r="I12" s="1">
        <v>0.61</v>
      </c>
      <c r="J12" s="1">
        <v>0.59199999999999997</v>
      </c>
      <c r="K12" s="1">
        <v>0.6</v>
      </c>
      <c r="L12" s="1">
        <v>0.59499999999999997</v>
      </c>
      <c r="M12" s="1">
        <v>0.59699999999999998</v>
      </c>
      <c r="O12" s="3">
        <f t="shared" si="0"/>
        <v>0.60489999999999999</v>
      </c>
      <c r="P12" s="3">
        <f t="shared" si="1"/>
        <v>1.2887978895078945E-2</v>
      </c>
    </row>
    <row r="13" spans="1:16" x14ac:dyDescent="0.2">
      <c r="A13" s="1">
        <v>90</v>
      </c>
      <c r="B13" s="1" t="s">
        <v>13</v>
      </c>
      <c r="C13" s="2">
        <v>0.65802083333333339</v>
      </c>
      <c r="D13" s="1">
        <v>0.41</v>
      </c>
      <c r="E13" s="1">
        <v>0.442</v>
      </c>
      <c r="F13" s="1">
        <v>0.45600000000000002</v>
      </c>
      <c r="G13" s="1">
        <v>0.42399999999999999</v>
      </c>
      <c r="H13" s="1">
        <v>0.41199999999999998</v>
      </c>
      <c r="I13" s="1">
        <v>0.39700000000000002</v>
      </c>
      <c r="J13" s="1">
        <v>0.40500000000000003</v>
      </c>
      <c r="K13" s="1">
        <v>0.36099999999999999</v>
      </c>
      <c r="L13" s="1">
        <v>0.22900000000000001</v>
      </c>
      <c r="M13" s="1">
        <v>0.28000000000000003</v>
      </c>
      <c r="O13" s="3">
        <f t="shared" ref="O13:O14" si="2">AVERAGE(D13:M13)</f>
        <v>0.38160000000000005</v>
      </c>
      <c r="P13" s="3">
        <f t="shared" ref="P13:P14" si="3">STDEV(D13:M13)</f>
        <v>7.2671559468305696E-2</v>
      </c>
    </row>
    <row r="14" spans="1:16" x14ac:dyDescent="0.2">
      <c r="A14" s="1">
        <v>100</v>
      </c>
      <c r="B14" s="1" t="s">
        <v>13</v>
      </c>
      <c r="C14" s="2">
        <v>0.65989583333333335</v>
      </c>
      <c r="D14" s="1">
        <v>0.35299999999999998</v>
      </c>
      <c r="E14" s="1">
        <v>0.34</v>
      </c>
      <c r="F14" s="1">
        <v>0.39700000000000002</v>
      </c>
      <c r="G14" s="1">
        <v>0.41199999999999998</v>
      </c>
      <c r="H14" s="1">
        <v>0.376</v>
      </c>
      <c r="I14" s="1">
        <v>0.377</v>
      </c>
      <c r="J14" s="1">
        <v>0.46899999999999997</v>
      </c>
      <c r="K14" s="1">
        <v>0.48</v>
      </c>
      <c r="L14" s="1">
        <v>0.434</v>
      </c>
      <c r="M14" s="1">
        <v>0.42799999999999999</v>
      </c>
      <c r="O14" s="3">
        <f t="shared" si="2"/>
        <v>0.40659999999999996</v>
      </c>
      <c r="P14" s="3">
        <f t="shared" si="3"/>
        <v>4.6824020426367699E-2</v>
      </c>
    </row>
  </sheetData>
  <phoneticPr fontId="2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78DD-12ED-124C-9A29-E79EA04AF874}">
  <dimension ref="A1:P14"/>
  <sheetViews>
    <sheetView workbookViewId="0">
      <selection activeCell="O1" sqref="O1:P1048576"/>
    </sheetView>
  </sheetViews>
  <sheetFormatPr baseColWidth="10" defaultColWidth="10.6640625" defaultRowHeight="16" x14ac:dyDescent="0.2"/>
  <cols>
    <col min="1" max="1" width="10.6640625" style="1"/>
    <col min="2" max="3" width="8.5" style="1" bestFit="1" customWidth="1"/>
    <col min="4" max="9" width="6.6640625" style="1" bestFit="1" customWidth="1"/>
    <col min="10" max="10" width="5.83203125" style="1" bestFit="1" customWidth="1"/>
    <col min="11" max="12" width="6.6640625" style="1" bestFit="1" customWidth="1"/>
    <col min="13" max="13" width="6.83203125" style="1" bestFit="1" customWidth="1"/>
    <col min="14" max="16384" width="10.6640625" style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14</v>
      </c>
      <c r="P1" s="1" t="s">
        <v>15</v>
      </c>
    </row>
    <row r="2" spans="1:16" x14ac:dyDescent="0.2">
      <c r="A2" s="1">
        <v>0</v>
      </c>
      <c r="B2" s="1" t="s">
        <v>17</v>
      </c>
      <c r="C2" s="2">
        <v>0.77266203703703706</v>
      </c>
      <c r="D2" s="1">
        <v>0.51300000000000001</v>
      </c>
      <c r="E2" s="1">
        <v>0.52400000000000002</v>
      </c>
      <c r="F2" s="1">
        <v>0.55000000000000004</v>
      </c>
      <c r="G2" s="1">
        <v>0.54100000000000004</v>
      </c>
      <c r="H2" s="1">
        <v>0.44800000000000001</v>
      </c>
      <c r="I2" s="1">
        <v>0.41899999999999998</v>
      </c>
      <c r="J2" s="1">
        <v>0.59399999999999997</v>
      </c>
      <c r="K2" s="1">
        <v>0.46600000000000003</v>
      </c>
      <c r="L2" s="1">
        <v>0.52600000000000002</v>
      </c>
      <c r="M2" s="1">
        <v>0.54</v>
      </c>
      <c r="O2" s="3">
        <f t="shared" ref="O2:O14" si="0">AVERAGE(D2:M2)</f>
        <v>0.5121</v>
      </c>
      <c r="P2" s="3">
        <f t="shared" ref="P2:P14" si="1">STDEV(D2:M2)</f>
        <v>5.2699251523253263E-2</v>
      </c>
    </row>
    <row r="3" spans="1:16" x14ac:dyDescent="0.2">
      <c r="A3" s="1">
        <v>5</v>
      </c>
      <c r="B3" s="1" t="s">
        <v>17</v>
      </c>
      <c r="C3" s="2">
        <v>0.77090277777777771</v>
      </c>
      <c r="D3" s="1">
        <v>0.68500000000000005</v>
      </c>
      <c r="E3" s="1">
        <v>0.68100000000000005</v>
      </c>
      <c r="F3" s="1">
        <v>0.7</v>
      </c>
      <c r="G3" s="1">
        <v>0.68</v>
      </c>
      <c r="H3" s="1">
        <v>0.70299999999999996</v>
      </c>
      <c r="I3" s="1">
        <v>0.68400000000000005</v>
      </c>
      <c r="J3" s="1">
        <v>0.67400000000000004</v>
      </c>
      <c r="K3" s="1">
        <v>0.66300000000000003</v>
      </c>
      <c r="L3" s="1">
        <v>0.68200000000000005</v>
      </c>
      <c r="M3" s="1">
        <v>0.67700000000000005</v>
      </c>
      <c r="O3" s="3">
        <f t="shared" si="0"/>
        <v>0.68290000000000006</v>
      </c>
      <c r="P3" s="3">
        <f t="shared" si="1"/>
        <v>1.1666190466471878E-2</v>
      </c>
    </row>
    <row r="4" spans="1:16" x14ac:dyDescent="0.2">
      <c r="A4" s="1">
        <v>10</v>
      </c>
      <c r="B4" s="1" t="s">
        <v>17</v>
      </c>
      <c r="C4" s="2">
        <v>0.76848379629629626</v>
      </c>
      <c r="D4" s="1">
        <v>0.69699999999999995</v>
      </c>
      <c r="E4" s="1">
        <v>0.68799999999999994</v>
      </c>
      <c r="F4" s="1">
        <v>0.68799999999999994</v>
      </c>
      <c r="G4" s="1">
        <v>0.68600000000000005</v>
      </c>
      <c r="H4" s="1">
        <v>0.65900000000000003</v>
      </c>
      <c r="I4" s="1">
        <v>0.64300000000000002</v>
      </c>
      <c r="J4" s="1">
        <v>0.66700000000000004</v>
      </c>
      <c r="K4" s="1">
        <v>0.66700000000000004</v>
      </c>
      <c r="L4" s="1">
        <v>0.65800000000000003</v>
      </c>
      <c r="M4" s="1">
        <v>0.67300000000000004</v>
      </c>
      <c r="O4" s="3">
        <f t="shared" si="0"/>
        <v>0.67259999999999986</v>
      </c>
      <c r="P4" s="3">
        <f t="shared" si="1"/>
        <v>1.6952220437977349E-2</v>
      </c>
    </row>
    <row r="5" spans="1:16" x14ac:dyDescent="0.2">
      <c r="A5" s="1">
        <v>20</v>
      </c>
      <c r="B5" s="1" t="s">
        <v>17</v>
      </c>
      <c r="C5" s="2">
        <v>0.76503472222222213</v>
      </c>
      <c r="D5" s="1">
        <v>0.68</v>
      </c>
      <c r="E5" s="1">
        <v>0.67300000000000004</v>
      </c>
      <c r="F5" s="1">
        <v>0.68400000000000005</v>
      </c>
      <c r="G5" s="1">
        <v>0.65</v>
      </c>
      <c r="H5" s="1">
        <v>0.65400000000000003</v>
      </c>
      <c r="I5" s="1">
        <v>0.66400000000000003</v>
      </c>
      <c r="J5" s="1">
        <v>0.66400000000000003</v>
      </c>
      <c r="K5" s="1">
        <v>0.66300000000000003</v>
      </c>
      <c r="L5" s="1">
        <v>0.66600000000000004</v>
      </c>
      <c r="M5" s="1">
        <v>0.67</v>
      </c>
      <c r="O5" s="3">
        <f t="shared" si="0"/>
        <v>0.66680000000000006</v>
      </c>
      <c r="P5" s="3">
        <f t="shared" si="1"/>
        <v>1.0517709932405554E-2</v>
      </c>
    </row>
    <row r="6" spans="1:16" x14ac:dyDescent="0.2">
      <c r="A6" s="1">
        <v>30</v>
      </c>
      <c r="B6" s="1" t="s">
        <v>17</v>
      </c>
      <c r="C6" s="2">
        <v>0.76245370370370369</v>
      </c>
      <c r="D6" s="1">
        <v>0.621</v>
      </c>
      <c r="E6" s="1">
        <v>0.64400000000000002</v>
      </c>
      <c r="F6" s="1">
        <v>0.61099999999999999</v>
      </c>
      <c r="G6" s="1">
        <v>0.56799999999999995</v>
      </c>
      <c r="H6" s="1">
        <v>0.65900000000000003</v>
      </c>
      <c r="I6" s="1">
        <v>0.64600000000000002</v>
      </c>
      <c r="J6" s="1">
        <v>0.67300000000000004</v>
      </c>
      <c r="K6" s="1">
        <v>0.65900000000000003</v>
      </c>
      <c r="L6" s="1">
        <v>0.625</v>
      </c>
      <c r="M6" s="1">
        <v>0.628</v>
      </c>
      <c r="O6" s="3">
        <f t="shared" si="0"/>
        <v>0.63339999999999996</v>
      </c>
      <c r="P6" s="3">
        <f t="shared" si="1"/>
        <v>3.0152206479054852E-2</v>
      </c>
    </row>
    <row r="7" spans="1:16" x14ac:dyDescent="0.2">
      <c r="A7" s="1">
        <v>34</v>
      </c>
      <c r="B7" s="1" t="s">
        <v>17</v>
      </c>
      <c r="C7" s="2">
        <v>0.75883101851851853</v>
      </c>
      <c r="D7" s="1">
        <v>0.66800000000000004</v>
      </c>
      <c r="E7" s="1">
        <v>0.67100000000000004</v>
      </c>
      <c r="F7" s="1">
        <v>0.64700000000000002</v>
      </c>
      <c r="G7" s="1">
        <v>0.64300000000000002</v>
      </c>
      <c r="H7" s="1">
        <v>0.64300000000000002</v>
      </c>
      <c r="I7" s="1">
        <v>0.63900000000000001</v>
      </c>
      <c r="J7" s="1">
        <v>0.64400000000000002</v>
      </c>
      <c r="K7" s="1">
        <v>0.64600000000000002</v>
      </c>
      <c r="L7" s="1">
        <v>0.67100000000000004</v>
      </c>
      <c r="M7" s="1">
        <v>0.65600000000000003</v>
      </c>
      <c r="O7" s="3">
        <f t="shared" si="0"/>
        <v>0.65280000000000005</v>
      </c>
      <c r="P7" s="3">
        <f t="shared" si="1"/>
        <v>1.2664912159190063E-2</v>
      </c>
    </row>
    <row r="8" spans="1:16" x14ac:dyDescent="0.2">
      <c r="A8" s="1">
        <v>40</v>
      </c>
      <c r="B8" s="1" t="s">
        <v>17</v>
      </c>
      <c r="C8" s="2">
        <v>0.77493055555555557</v>
      </c>
      <c r="D8" s="1">
        <v>0.64700000000000002</v>
      </c>
      <c r="E8" s="1">
        <v>0.64600000000000002</v>
      </c>
      <c r="F8" s="1">
        <v>0.625</v>
      </c>
      <c r="G8" s="1">
        <v>0.63800000000000001</v>
      </c>
      <c r="H8" s="1">
        <v>0.65</v>
      </c>
      <c r="I8" s="1">
        <v>0.64500000000000002</v>
      </c>
      <c r="J8" s="1">
        <v>0.67</v>
      </c>
      <c r="K8" s="1">
        <v>0.65300000000000002</v>
      </c>
      <c r="L8" s="1">
        <v>0.65500000000000003</v>
      </c>
      <c r="M8" s="1">
        <v>0.65400000000000003</v>
      </c>
      <c r="O8" s="3">
        <f t="shared" si="0"/>
        <v>0.64829999999999999</v>
      </c>
      <c r="P8" s="3">
        <f t="shared" si="1"/>
        <v>1.1738351199759238E-2</v>
      </c>
    </row>
    <row r="9" spans="1:16" x14ac:dyDescent="0.2">
      <c r="A9" s="1">
        <v>50</v>
      </c>
      <c r="B9" s="1" t="s">
        <v>17</v>
      </c>
      <c r="C9" s="2">
        <v>0.77664351851851843</v>
      </c>
      <c r="D9" s="1">
        <v>0.61899999999999999</v>
      </c>
      <c r="E9" s="1">
        <v>0.59499999999999997</v>
      </c>
      <c r="F9" s="1">
        <v>0.64600000000000002</v>
      </c>
      <c r="G9" s="1">
        <v>0.64700000000000002</v>
      </c>
      <c r="H9" s="1">
        <v>0.64100000000000001</v>
      </c>
      <c r="I9" s="1">
        <v>0.64600000000000002</v>
      </c>
      <c r="J9" s="1">
        <v>0.625</v>
      </c>
      <c r="K9" s="1">
        <v>0.625</v>
      </c>
      <c r="L9" s="1">
        <v>0.65300000000000002</v>
      </c>
      <c r="M9" s="1">
        <v>0.64300000000000002</v>
      </c>
      <c r="O9" s="3">
        <f t="shared" si="0"/>
        <v>0.6339999999999999</v>
      </c>
      <c r="P9" s="3">
        <f t="shared" si="1"/>
        <v>1.7813852287849867E-2</v>
      </c>
    </row>
    <row r="10" spans="1:16" x14ac:dyDescent="0.2">
      <c r="A10" s="1">
        <v>60</v>
      </c>
      <c r="B10" s="1" t="s">
        <v>17</v>
      </c>
      <c r="C10" s="2">
        <v>0.77833333333333332</v>
      </c>
      <c r="D10" s="1">
        <v>0.59799999999999998</v>
      </c>
      <c r="E10" s="1">
        <v>0.63</v>
      </c>
      <c r="F10" s="1">
        <v>0.64400000000000002</v>
      </c>
      <c r="G10" s="1">
        <v>0.63100000000000001</v>
      </c>
      <c r="H10" s="1">
        <v>0.63400000000000001</v>
      </c>
      <c r="I10" s="1">
        <v>0.63100000000000001</v>
      </c>
      <c r="J10" s="1">
        <v>0.65200000000000002</v>
      </c>
      <c r="K10" s="1">
        <v>0.64900000000000002</v>
      </c>
      <c r="L10" s="1">
        <v>0.63100000000000001</v>
      </c>
      <c r="M10" s="1">
        <v>0.622</v>
      </c>
      <c r="O10" s="3">
        <f t="shared" si="0"/>
        <v>0.63219999999999998</v>
      </c>
      <c r="P10" s="3">
        <f t="shared" si="1"/>
        <v>1.5273797461302455E-2</v>
      </c>
    </row>
    <row r="11" spans="1:16" x14ac:dyDescent="0.2">
      <c r="A11" s="1">
        <v>70</v>
      </c>
      <c r="B11" s="1" t="s">
        <v>17</v>
      </c>
      <c r="C11" s="2">
        <v>0.78016203703703713</v>
      </c>
      <c r="D11" s="1">
        <v>0.64900000000000002</v>
      </c>
      <c r="E11" s="1">
        <v>0.64800000000000002</v>
      </c>
      <c r="F11" s="1">
        <v>0.59599999999999997</v>
      </c>
      <c r="G11" s="1">
        <v>0.58199999999999996</v>
      </c>
      <c r="H11" s="1">
        <v>0.623</v>
      </c>
      <c r="I11" s="1">
        <v>0.64300000000000002</v>
      </c>
      <c r="J11" s="1">
        <v>0.627</v>
      </c>
      <c r="K11" s="1">
        <v>0.63200000000000001</v>
      </c>
      <c r="L11" s="1">
        <v>0.63700000000000001</v>
      </c>
      <c r="M11" s="1">
        <v>0.629</v>
      </c>
      <c r="O11" s="3">
        <f t="shared" si="0"/>
        <v>0.62659999999999982</v>
      </c>
      <c r="P11" s="3">
        <f t="shared" si="1"/>
        <v>2.1884545536367303E-2</v>
      </c>
    </row>
    <row r="12" spans="1:16" x14ac:dyDescent="0.2">
      <c r="A12" s="1">
        <v>80</v>
      </c>
      <c r="B12" s="1" t="s">
        <v>17</v>
      </c>
      <c r="C12" s="2">
        <v>0.78204861111111112</v>
      </c>
      <c r="D12" s="1">
        <v>0.58799999999999997</v>
      </c>
      <c r="E12" s="1">
        <v>0.59799999999999998</v>
      </c>
      <c r="F12" s="1">
        <v>0.57699999999999996</v>
      </c>
      <c r="G12" s="1">
        <v>0.58899999999999997</v>
      </c>
      <c r="H12" s="1">
        <v>0.60099999999999998</v>
      </c>
      <c r="I12" s="1">
        <v>0.58199999999999996</v>
      </c>
      <c r="J12" s="1">
        <v>0.53800000000000003</v>
      </c>
      <c r="K12" s="1">
        <v>0.50700000000000001</v>
      </c>
      <c r="L12" s="1">
        <v>0.60899999999999999</v>
      </c>
      <c r="M12" s="1">
        <v>0.61499999999999999</v>
      </c>
      <c r="O12" s="3">
        <f t="shared" si="0"/>
        <v>0.58039999999999992</v>
      </c>
      <c r="P12" s="3">
        <f t="shared" si="1"/>
        <v>3.3467065070669759E-2</v>
      </c>
    </row>
    <row r="13" spans="1:16" x14ac:dyDescent="0.2">
      <c r="A13" s="1">
        <v>90</v>
      </c>
      <c r="B13" s="1" t="s">
        <v>17</v>
      </c>
      <c r="C13" s="2">
        <v>0.78386574074074078</v>
      </c>
      <c r="D13" s="1">
        <v>0.254</v>
      </c>
      <c r="E13" s="1">
        <v>0.24199999999999999</v>
      </c>
      <c r="F13" s="1">
        <v>0.38300000000000001</v>
      </c>
      <c r="G13" s="1">
        <v>0.36499999999999999</v>
      </c>
      <c r="H13" s="1">
        <v>0.192</v>
      </c>
      <c r="I13" s="1">
        <v>0.189</v>
      </c>
      <c r="J13" s="1">
        <v>0.121</v>
      </c>
      <c r="K13" s="1">
        <v>0.121</v>
      </c>
      <c r="L13" s="1">
        <v>0.22600000000000001</v>
      </c>
      <c r="M13" s="1">
        <v>0.17299999999999999</v>
      </c>
      <c r="O13" s="3">
        <f t="shared" si="0"/>
        <v>0.2266</v>
      </c>
      <c r="P13" s="3">
        <f t="shared" si="1"/>
        <v>8.9684880430191655E-2</v>
      </c>
    </row>
    <row r="14" spans="1:16" x14ac:dyDescent="0.2">
      <c r="A14" s="1">
        <v>100</v>
      </c>
      <c r="B14" s="1" t="s">
        <v>17</v>
      </c>
      <c r="C14" s="2">
        <v>0.7855671296296296</v>
      </c>
      <c r="D14" s="1">
        <v>0.16300000000000001</v>
      </c>
      <c r="E14" s="1">
        <v>0.17299999999999999</v>
      </c>
      <c r="F14" s="1">
        <v>0.318</v>
      </c>
      <c r="G14" s="1">
        <v>0.30399999999999999</v>
      </c>
      <c r="H14" s="1">
        <v>0.41799999999999998</v>
      </c>
      <c r="I14" s="1">
        <v>0.41799999999999998</v>
      </c>
      <c r="J14" s="1">
        <v>0.2</v>
      </c>
      <c r="K14" s="1">
        <v>0.128</v>
      </c>
      <c r="L14" s="1">
        <v>0.27700000000000002</v>
      </c>
      <c r="M14" s="1">
        <v>0.25800000000000001</v>
      </c>
      <c r="O14" s="3">
        <f t="shared" si="0"/>
        <v>0.26569999999999999</v>
      </c>
      <c r="P14" s="3">
        <f t="shared" si="1"/>
        <v>0.1017612128683834</v>
      </c>
    </row>
  </sheetData>
  <phoneticPr fontId="2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DFFF-C5C1-8847-BB35-C6CA022EF098}">
  <dimension ref="A1:P14"/>
  <sheetViews>
    <sheetView tabSelected="1" workbookViewId="0">
      <selection activeCell="N34" sqref="N34"/>
    </sheetView>
  </sheetViews>
  <sheetFormatPr baseColWidth="10" defaultColWidth="10.6640625" defaultRowHeight="16" x14ac:dyDescent="0.2"/>
  <cols>
    <col min="1" max="1" width="10.6640625" style="1"/>
    <col min="2" max="3" width="8.5" style="1" bestFit="1" customWidth="1"/>
    <col min="4" max="12" width="6.6640625" style="1" bestFit="1" customWidth="1"/>
    <col min="13" max="13" width="6.83203125" style="1" bestFit="1" customWidth="1"/>
    <col min="14" max="16384" width="10.6640625" style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14</v>
      </c>
      <c r="P1" s="1" t="s">
        <v>15</v>
      </c>
    </row>
    <row r="2" spans="1:16" x14ac:dyDescent="0.2">
      <c r="A2" s="1">
        <v>0</v>
      </c>
      <c r="B2" s="1" t="s">
        <v>18</v>
      </c>
      <c r="C2" s="2">
        <v>0.68763888888888891</v>
      </c>
      <c r="D2" s="1">
        <v>0.439</v>
      </c>
      <c r="E2" s="1">
        <v>0.46800000000000003</v>
      </c>
      <c r="F2" s="1">
        <v>0.502</v>
      </c>
      <c r="G2" s="1">
        <v>0.52100000000000002</v>
      </c>
      <c r="H2" s="1">
        <v>0.375</v>
      </c>
      <c r="I2" s="1">
        <v>0.28399999999999997</v>
      </c>
      <c r="J2" s="1">
        <v>0.42699999999999999</v>
      </c>
      <c r="K2" s="1">
        <v>0.47099999999999997</v>
      </c>
      <c r="L2" s="1">
        <v>0.46300000000000002</v>
      </c>
      <c r="M2" s="1">
        <v>0.45</v>
      </c>
      <c r="O2" s="3">
        <f t="shared" ref="O2:O14" si="0">AVERAGE(D2:M2)</f>
        <v>0.44000000000000006</v>
      </c>
      <c r="P2" s="3">
        <f t="shared" ref="P2:P14" si="1">STDEV(D2:M2)</f>
        <v>6.7913343476979471E-2</v>
      </c>
    </row>
    <row r="3" spans="1:16" x14ac:dyDescent="0.2">
      <c r="A3" s="1">
        <v>5</v>
      </c>
      <c r="B3" s="1" t="s">
        <v>18</v>
      </c>
      <c r="C3" s="2">
        <v>0.68568287037037035</v>
      </c>
      <c r="D3" s="1">
        <v>0.67300000000000004</v>
      </c>
      <c r="E3" s="1">
        <v>0.66700000000000004</v>
      </c>
      <c r="F3" s="1">
        <v>0.68400000000000005</v>
      </c>
      <c r="G3" s="1">
        <v>0.68500000000000005</v>
      </c>
      <c r="H3" s="1">
        <v>0.64700000000000002</v>
      </c>
      <c r="I3" s="1">
        <v>0.67600000000000005</v>
      </c>
      <c r="J3" s="1">
        <v>0.66</v>
      </c>
      <c r="K3" s="1">
        <v>0.65500000000000003</v>
      </c>
      <c r="L3" s="1">
        <v>0.65200000000000002</v>
      </c>
      <c r="M3" s="1">
        <v>0.69199999999999995</v>
      </c>
      <c r="O3" s="3">
        <f t="shared" si="0"/>
        <v>0.66910000000000003</v>
      </c>
      <c r="P3" s="3">
        <f t="shared" si="1"/>
        <v>1.5380001444877835E-2</v>
      </c>
    </row>
    <row r="4" spans="1:16" x14ac:dyDescent="0.2">
      <c r="A4" s="1">
        <v>10</v>
      </c>
      <c r="B4" s="1" t="s">
        <v>18</v>
      </c>
      <c r="C4" s="2">
        <v>0.68414351851851851</v>
      </c>
      <c r="D4" s="1">
        <v>0.65800000000000003</v>
      </c>
      <c r="E4" s="1">
        <v>0.65700000000000003</v>
      </c>
      <c r="F4" s="1">
        <v>0.67400000000000004</v>
      </c>
      <c r="G4" s="1">
        <v>0.68</v>
      </c>
      <c r="H4" s="1">
        <v>0.68400000000000005</v>
      </c>
      <c r="I4" s="1">
        <v>0.68899999999999995</v>
      </c>
      <c r="J4" s="1">
        <v>0.64300000000000002</v>
      </c>
      <c r="K4" s="1">
        <v>0.64</v>
      </c>
      <c r="L4" s="1">
        <v>0.65500000000000003</v>
      </c>
      <c r="M4" s="1">
        <v>0.65900000000000003</v>
      </c>
      <c r="O4" s="3">
        <f t="shared" si="0"/>
        <v>0.66389999999999993</v>
      </c>
      <c r="P4" s="3">
        <f t="shared" si="1"/>
        <v>1.6960411420586338E-2</v>
      </c>
    </row>
    <row r="5" spans="1:16" x14ac:dyDescent="0.2">
      <c r="A5" s="1">
        <v>20</v>
      </c>
      <c r="B5" s="1" t="s">
        <v>18</v>
      </c>
      <c r="C5" s="2">
        <v>0.68153935185185188</v>
      </c>
      <c r="D5" s="1">
        <v>0.68400000000000005</v>
      </c>
      <c r="E5" s="1">
        <v>0.68300000000000005</v>
      </c>
      <c r="F5" s="1">
        <v>0.67400000000000004</v>
      </c>
      <c r="G5" s="1">
        <v>0.65600000000000003</v>
      </c>
      <c r="H5" s="1">
        <v>0.65200000000000002</v>
      </c>
      <c r="I5" s="1">
        <v>0.66100000000000003</v>
      </c>
      <c r="J5" s="1">
        <v>0.64800000000000002</v>
      </c>
      <c r="K5" s="1">
        <v>0.64300000000000002</v>
      </c>
      <c r="L5" s="1">
        <v>0.66800000000000004</v>
      </c>
      <c r="M5" s="1">
        <v>0.67500000000000004</v>
      </c>
      <c r="O5" s="3">
        <f t="shared" si="0"/>
        <v>0.66439999999999988</v>
      </c>
      <c r="P5" s="3">
        <f t="shared" si="1"/>
        <v>1.4569374271624264E-2</v>
      </c>
    </row>
    <row r="6" spans="1:16" x14ac:dyDescent="0.2">
      <c r="A6" s="1">
        <v>30</v>
      </c>
      <c r="B6" s="1" t="s">
        <v>18</v>
      </c>
      <c r="C6" s="2">
        <v>0.67859953703703713</v>
      </c>
      <c r="D6" s="1">
        <v>0.66100000000000003</v>
      </c>
      <c r="E6" s="1">
        <v>0.68600000000000005</v>
      </c>
      <c r="F6" s="1">
        <v>0.65700000000000003</v>
      </c>
      <c r="G6" s="1">
        <v>0.64600000000000002</v>
      </c>
      <c r="H6" s="1">
        <v>0.66600000000000004</v>
      </c>
      <c r="I6" s="1">
        <v>0.66900000000000004</v>
      </c>
      <c r="J6" s="1">
        <v>0.65400000000000003</v>
      </c>
      <c r="K6" s="1">
        <v>0.65200000000000002</v>
      </c>
      <c r="L6" s="1">
        <v>0.66600000000000004</v>
      </c>
      <c r="M6" s="1">
        <v>0.65800000000000003</v>
      </c>
      <c r="O6" s="3">
        <f t="shared" si="0"/>
        <v>0.66150000000000009</v>
      </c>
      <c r="P6" s="3">
        <f t="shared" si="1"/>
        <v>1.1138022964402423E-2</v>
      </c>
    </row>
    <row r="7" spans="1:16" x14ac:dyDescent="0.2">
      <c r="A7" s="1">
        <v>34</v>
      </c>
      <c r="B7" s="1" t="s">
        <v>18</v>
      </c>
      <c r="C7" s="2">
        <v>0.67648148148148157</v>
      </c>
      <c r="D7" s="1">
        <v>0.622</v>
      </c>
      <c r="E7" s="1">
        <v>0.625</v>
      </c>
      <c r="F7" s="1">
        <v>0.64700000000000002</v>
      </c>
      <c r="G7" s="1">
        <v>0.64500000000000002</v>
      </c>
      <c r="H7" s="1">
        <v>0.65300000000000002</v>
      </c>
      <c r="I7" s="1">
        <v>0.64400000000000002</v>
      </c>
      <c r="J7" s="1">
        <v>0.63200000000000001</v>
      </c>
      <c r="K7" s="1">
        <v>0.63800000000000001</v>
      </c>
      <c r="L7" s="1">
        <v>0.66500000000000004</v>
      </c>
      <c r="M7" s="1">
        <v>0.64700000000000002</v>
      </c>
      <c r="O7" s="3">
        <f t="shared" si="0"/>
        <v>0.64180000000000004</v>
      </c>
      <c r="P7" s="3">
        <f t="shared" si="1"/>
        <v>1.2985461956442771E-2</v>
      </c>
    </row>
    <row r="8" spans="1:16" x14ac:dyDescent="0.2">
      <c r="A8" s="1">
        <v>40</v>
      </c>
      <c r="B8" s="1" t="s">
        <v>18</v>
      </c>
      <c r="C8" s="2">
        <v>0.69187500000000002</v>
      </c>
      <c r="D8" s="1">
        <v>0.67300000000000004</v>
      </c>
      <c r="E8" s="1">
        <v>0.67400000000000004</v>
      </c>
      <c r="F8" s="1">
        <v>0.67100000000000004</v>
      </c>
      <c r="G8" s="1">
        <v>0.67900000000000005</v>
      </c>
      <c r="H8" s="1">
        <v>0.63</v>
      </c>
      <c r="I8" s="1">
        <v>0.64300000000000002</v>
      </c>
      <c r="J8" s="1">
        <v>0.64500000000000002</v>
      </c>
      <c r="K8" s="1">
        <v>0.63700000000000001</v>
      </c>
      <c r="L8" s="1">
        <v>0.66200000000000003</v>
      </c>
      <c r="M8" s="1">
        <v>0.65500000000000003</v>
      </c>
      <c r="O8" s="3">
        <f t="shared" si="0"/>
        <v>0.65690000000000004</v>
      </c>
      <c r="P8" s="3">
        <f t="shared" si="1"/>
        <v>1.7393804771942366E-2</v>
      </c>
    </row>
    <row r="9" spans="1:16" x14ac:dyDescent="0.2">
      <c r="A9" s="1">
        <v>50</v>
      </c>
      <c r="B9" s="1" t="s">
        <v>18</v>
      </c>
      <c r="C9" s="2">
        <v>0.69385416666666666</v>
      </c>
      <c r="D9" s="1">
        <v>0.629</v>
      </c>
      <c r="E9" s="1">
        <v>0.628</v>
      </c>
      <c r="F9" s="1">
        <v>0.63200000000000001</v>
      </c>
      <c r="G9" s="1">
        <v>0.64400000000000002</v>
      </c>
      <c r="H9" s="1">
        <v>0.66</v>
      </c>
      <c r="I9" s="1">
        <v>0.63400000000000001</v>
      </c>
      <c r="J9" s="1">
        <v>0.628</v>
      </c>
      <c r="K9" s="1">
        <v>0.61699999999999999</v>
      </c>
      <c r="L9" s="1">
        <v>0.64500000000000002</v>
      </c>
      <c r="M9" s="1">
        <v>0.63800000000000001</v>
      </c>
      <c r="O9" s="3">
        <f t="shared" si="0"/>
        <v>0.63550000000000006</v>
      </c>
      <c r="P9" s="3">
        <f t="shared" si="1"/>
        <v>1.192802489005527E-2</v>
      </c>
    </row>
    <row r="10" spans="1:16" x14ac:dyDescent="0.2">
      <c r="A10" s="1">
        <v>60</v>
      </c>
      <c r="B10" s="1" t="s">
        <v>18</v>
      </c>
      <c r="C10" s="2">
        <v>0.69549768518518518</v>
      </c>
      <c r="D10" s="1">
        <v>0.63400000000000001</v>
      </c>
      <c r="E10" s="1">
        <v>0.622</v>
      </c>
      <c r="F10" s="1">
        <v>0.64800000000000002</v>
      </c>
      <c r="G10" s="1">
        <v>0.65400000000000003</v>
      </c>
      <c r="H10" s="1">
        <v>0.63700000000000001</v>
      </c>
      <c r="I10" s="1">
        <v>0.64600000000000002</v>
      </c>
      <c r="J10" s="1">
        <v>0.625</v>
      </c>
      <c r="K10" s="1">
        <v>0.63100000000000001</v>
      </c>
      <c r="L10" s="1">
        <v>0.61399999999999999</v>
      </c>
      <c r="M10" s="1">
        <v>0.61699999999999999</v>
      </c>
      <c r="O10" s="3">
        <f t="shared" si="0"/>
        <v>0.63279999999999992</v>
      </c>
      <c r="P10" s="3">
        <f t="shared" si="1"/>
        <v>1.3571211359999447E-2</v>
      </c>
    </row>
    <row r="11" spans="1:16" x14ac:dyDescent="0.2">
      <c r="A11" s="1">
        <v>70</v>
      </c>
      <c r="B11" s="1" t="s">
        <v>18</v>
      </c>
      <c r="C11" s="2">
        <v>0.69728009259259249</v>
      </c>
      <c r="D11" s="1">
        <v>0.64600000000000002</v>
      </c>
      <c r="E11" s="1">
        <v>0.63200000000000001</v>
      </c>
      <c r="F11" s="1">
        <v>0.63400000000000001</v>
      </c>
      <c r="G11" s="1">
        <v>0.64500000000000002</v>
      </c>
      <c r="H11" s="1">
        <v>0.60599999999999998</v>
      </c>
      <c r="I11" s="1">
        <v>0.60199999999999998</v>
      </c>
      <c r="J11" s="1">
        <v>0.63900000000000001</v>
      </c>
      <c r="K11" s="1">
        <v>0.63</v>
      </c>
      <c r="L11" s="1">
        <v>0.67</v>
      </c>
      <c r="M11" s="1">
        <v>0.66100000000000003</v>
      </c>
      <c r="O11" s="3">
        <f t="shared" si="0"/>
        <v>0.63650000000000007</v>
      </c>
      <c r="P11" s="3">
        <f t="shared" si="1"/>
        <v>2.1292930490866911E-2</v>
      </c>
    </row>
    <row r="12" spans="1:16" x14ac:dyDescent="0.2">
      <c r="A12" s="1">
        <v>80</v>
      </c>
      <c r="B12" s="1" t="s">
        <v>18</v>
      </c>
      <c r="C12" s="2">
        <v>0.69918981481481479</v>
      </c>
      <c r="D12" s="1">
        <v>0.65900000000000003</v>
      </c>
      <c r="E12" s="1">
        <v>0.63900000000000001</v>
      </c>
      <c r="F12" s="1">
        <v>0.61799999999999999</v>
      </c>
      <c r="G12" s="1">
        <v>0.61899999999999999</v>
      </c>
      <c r="H12" s="1">
        <v>0.57899999999999996</v>
      </c>
      <c r="I12" s="1">
        <v>0.60899999999999999</v>
      </c>
      <c r="J12" s="1">
        <v>0.60499999999999998</v>
      </c>
      <c r="K12" s="1">
        <v>0.628</v>
      </c>
      <c r="L12" s="1">
        <v>0.60699999999999998</v>
      </c>
      <c r="M12" s="1">
        <v>0.6</v>
      </c>
      <c r="O12" s="3">
        <f t="shared" si="0"/>
        <v>0.61629999999999996</v>
      </c>
      <c r="P12" s="3">
        <f t="shared" si="1"/>
        <v>2.2136194594173406E-2</v>
      </c>
    </row>
    <row r="13" spans="1:16" x14ac:dyDescent="0.2">
      <c r="A13" s="1">
        <v>90</v>
      </c>
      <c r="B13" s="1" t="s">
        <v>18</v>
      </c>
      <c r="C13" s="2">
        <v>0.7009143518518518</v>
      </c>
      <c r="D13" s="1">
        <v>0.17599999999999999</v>
      </c>
      <c r="E13" s="1">
        <v>0.188</v>
      </c>
      <c r="F13" s="1">
        <v>0.13700000000000001</v>
      </c>
      <c r="G13" s="1">
        <v>9.6000000000000002E-2</v>
      </c>
      <c r="H13" s="1">
        <v>0.41299999999999998</v>
      </c>
      <c r="I13" s="1">
        <v>0.4</v>
      </c>
      <c r="J13" s="1">
        <v>0.184</v>
      </c>
      <c r="K13" s="1">
        <v>0.192</v>
      </c>
      <c r="L13" s="1">
        <v>0.255</v>
      </c>
      <c r="M13" s="1">
        <v>0.23599999999999999</v>
      </c>
      <c r="O13" s="3">
        <f t="shared" si="0"/>
        <v>0.22770000000000001</v>
      </c>
      <c r="P13" s="3">
        <f t="shared" si="1"/>
        <v>0.10426573955257031</v>
      </c>
    </row>
    <row r="14" spans="1:16" x14ac:dyDescent="0.2">
      <c r="A14" s="1">
        <v>100</v>
      </c>
      <c r="B14" s="1" t="s">
        <v>18</v>
      </c>
      <c r="C14" s="2">
        <v>0.70284722222222218</v>
      </c>
      <c r="D14" s="1">
        <v>0.376</v>
      </c>
      <c r="E14" s="1">
        <v>0.38800000000000001</v>
      </c>
      <c r="F14" s="1">
        <v>0.105</v>
      </c>
      <c r="G14" s="1">
        <v>0.122</v>
      </c>
      <c r="H14" s="1">
        <v>8.5999999999999993E-2</v>
      </c>
      <c r="I14" s="1">
        <v>0.13600000000000001</v>
      </c>
      <c r="J14" s="1">
        <v>0.21199999999999999</v>
      </c>
      <c r="K14" s="1">
        <v>0.17399999999999999</v>
      </c>
      <c r="L14" s="1">
        <v>0.32200000000000001</v>
      </c>
      <c r="M14" s="1">
        <v>0.29099999999999998</v>
      </c>
      <c r="O14" s="3">
        <f t="shared" si="0"/>
        <v>0.22120000000000001</v>
      </c>
      <c r="P14" s="3">
        <f t="shared" si="1"/>
        <v>0.11450938826139974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52</vt:i4>
      </vt:variant>
    </vt:vector>
  </HeadingPairs>
  <TitlesOfParts>
    <vt:vector size="56" baseType="lpstr">
      <vt:lpstr>1d_analysis</vt:lpstr>
      <vt:lpstr>3d_analysis</vt:lpstr>
      <vt:lpstr>5d_analysis</vt:lpstr>
      <vt:lpstr>7d_analysis</vt:lpstr>
      <vt:lpstr>'1d_analysis'!yabure_20230511_0psu_1d</vt:lpstr>
      <vt:lpstr>'1d_analysis'!yabure_20230511_100psu_1d</vt:lpstr>
      <vt:lpstr>'1d_analysis'!yabure_20230511_10psu_1d</vt:lpstr>
      <vt:lpstr>'1d_analysis'!yabure_20230511_20psu_1d</vt:lpstr>
      <vt:lpstr>'1d_analysis'!yabure_20230511_30psu_1d</vt:lpstr>
      <vt:lpstr>'1d_analysis'!yabure_20230511_34psu_1d</vt:lpstr>
      <vt:lpstr>'1d_analysis'!yabure_20230511_40psu_1d</vt:lpstr>
      <vt:lpstr>'1d_analysis'!yabure_20230511_50psu_1d</vt:lpstr>
      <vt:lpstr>'1d_analysis'!yabure_20230511_5psu_1d</vt:lpstr>
      <vt:lpstr>'1d_analysis'!yabure_20230511_60psu_1d</vt:lpstr>
      <vt:lpstr>'1d_analysis'!yabure_20230511_70psu_1d</vt:lpstr>
      <vt:lpstr>'1d_analysis'!yabure_20230511_80psu_1d</vt:lpstr>
      <vt:lpstr>'1d_analysis'!yabure_20230511_90psu_1d</vt:lpstr>
      <vt:lpstr>'3d_analysis'!yabure_20230513_0psu_3d</vt:lpstr>
      <vt:lpstr>'3d_analysis'!yabure_20230513_100psu_3d</vt:lpstr>
      <vt:lpstr>'3d_analysis'!yabure_20230513_10psu_3d</vt:lpstr>
      <vt:lpstr>'3d_analysis'!yabure_20230513_20psu_3d</vt:lpstr>
      <vt:lpstr>'3d_analysis'!yabure_20230513_30psu_3d</vt:lpstr>
      <vt:lpstr>'3d_analysis'!yabure_20230513_34psu_3d</vt:lpstr>
      <vt:lpstr>'3d_analysis'!yabure_20230513_40psu_3d</vt:lpstr>
      <vt:lpstr>'3d_analysis'!yabure_20230513_50psu_3d</vt:lpstr>
      <vt:lpstr>'3d_analysis'!yabure_20230513_5psu_3d</vt:lpstr>
      <vt:lpstr>'3d_analysis'!yabure_20230513_60psu_3d</vt:lpstr>
      <vt:lpstr>'3d_analysis'!yabure_20230513_70psu_3d</vt:lpstr>
      <vt:lpstr>'3d_analysis'!yabure_20230513_80psu_3d</vt:lpstr>
      <vt:lpstr>'3d_analysis'!yabure_20230513_90psu_3d</vt:lpstr>
      <vt:lpstr>'5d_analysis'!yabure_20230515_0psu_5d</vt:lpstr>
      <vt:lpstr>'5d_analysis'!yabure_20230515_100psu_5d</vt:lpstr>
      <vt:lpstr>'5d_analysis'!yabure_20230515_10psu_5d</vt:lpstr>
      <vt:lpstr>'5d_analysis'!yabure_20230515_20psu_5d</vt:lpstr>
      <vt:lpstr>'5d_analysis'!yabure_20230515_30psu_5d</vt:lpstr>
      <vt:lpstr>'5d_analysis'!yabure_20230515_34psu_5d</vt:lpstr>
      <vt:lpstr>'5d_analysis'!yabure_20230515_40psu_5d</vt:lpstr>
      <vt:lpstr>'5d_analysis'!yabure_20230515_50psu_5d</vt:lpstr>
      <vt:lpstr>'5d_analysis'!yabure_20230515_5psu_5d</vt:lpstr>
      <vt:lpstr>'5d_analysis'!yabure_20230515_60psu_5d</vt:lpstr>
      <vt:lpstr>'5d_analysis'!yabure_20230515_70psu_5d</vt:lpstr>
      <vt:lpstr>'5d_analysis'!yabure_20230515_80psu_5d</vt:lpstr>
      <vt:lpstr>'5d_analysis'!yabure_20230515_90psu_5d</vt:lpstr>
      <vt:lpstr>'7d_analysis'!yabure_20230517_0psu_7d</vt:lpstr>
      <vt:lpstr>'7d_analysis'!yabure_20230517_100psu_7d</vt:lpstr>
      <vt:lpstr>'7d_analysis'!yabure_20230517_10psu_7d</vt:lpstr>
      <vt:lpstr>'7d_analysis'!yabure_20230517_20psu_7d</vt:lpstr>
      <vt:lpstr>'7d_analysis'!yabure_20230517_30psu_7d</vt:lpstr>
      <vt:lpstr>'7d_analysis'!yabure_20230517_34psu_7d</vt:lpstr>
      <vt:lpstr>'7d_analysis'!yabure_20230517_40psu_7d</vt:lpstr>
      <vt:lpstr>'7d_analysis'!yabure_20230517_50psu_7d</vt:lpstr>
      <vt:lpstr>'7d_analysis'!yabure_20230517_5psu_7d</vt:lpstr>
      <vt:lpstr>'7d_analysis'!yabure_20230517_60psu_7d</vt:lpstr>
      <vt:lpstr>'7d_analysis'!yabure_20230517_70psu_7d</vt:lpstr>
      <vt:lpstr>'7d_analysis'!yabure_20230517_80psu_7d</vt:lpstr>
      <vt:lpstr>'7d_analysis'!yabure_20230517_90psu_7d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Ryuta Terada</dc:creator>
  <cp:lastModifiedBy>寺田　竜太</cp:lastModifiedBy>
  <dcterms:created xsi:type="dcterms:W3CDTF">2023-05-15T06:27:00Z</dcterms:created>
  <dcterms:modified xsi:type="dcterms:W3CDTF">2026-01-14T01:00:40Z</dcterms:modified>
</cp:coreProperties>
</file>