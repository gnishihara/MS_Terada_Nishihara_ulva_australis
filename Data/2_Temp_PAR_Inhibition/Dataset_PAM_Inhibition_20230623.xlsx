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radaryuuta/Desktop/Uva_asustralis_study_2026/"/>
    </mc:Choice>
  </mc:AlternateContent>
  <xr:revisionPtr revIDLastSave="0" documentId="13_ncr:1_{49E49651-BD2A-294F-9135-90E3E42EF815}" xr6:coauthVersionLast="47" xr6:coauthVersionMax="47" xr10:uidLastSave="{00000000-0000-0000-0000-000000000000}"/>
  <bookViews>
    <workbookView xWindow="14040" yWindow="1380" windowWidth="28040" windowHeight="17260" activeTab="5" xr2:uid="{BB8A7B7B-57E7-1341-AAED-650FEA7B384D}"/>
  </bookViews>
  <sheets>
    <sheet name="28˚C_1000umol-2" sheetId="5" r:id="rId1"/>
    <sheet name="28˚C_200umol-2" sheetId="4" r:id="rId2"/>
    <sheet name="16˚C_1000µmol_#2_analysis" sheetId="2" r:id="rId3"/>
    <sheet name="16˚C_200umol-2" sheetId="3" r:id="rId4"/>
    <sheet name="4c1000umol" sheetId="7" r:id="rId5"/>
    <sheet name="4˚C_200µmol" sheetId="6" r:id="rId6"/>
  </sheets>
  <externalReferences>
    <externalReference r:id="rId7"/>
    <externalReference r:id="rId8"/>
  </externalReferences>
  <definedNames>
    <definedName name="yabure_20230621_16c_1000umol_0h_2" localSheetId="2">'16˚C_1000µmol_#2_analysis'!$D$1:$O$2</definedName>
    <definedName name="yabure_20230621_16c_1000umol_18h_2" localSheetId="2">'16˚C_1000µmol_#2_analysis'!$D$6:$O$6</definedName>
    <definedName name="yabure_20230621_16c_1000umol_2h_2" localSheetId="2">'16˚C_1000µmol_#2_analysis'!$D$3:$O$3</definedName>
    <definedName name="yabure_20230621_16c_1000umol_4h_2" localSheetId="2">'16˚C_1000µmol_#2_analysis'!$D$4:$O$4</definedName>
    <definedName name="yabure_20230621_16c_1000umol_6h_2" localSheetId="2">'16˚C_1000µmol_#2_analysis'!$D$5:$O$5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7" l="1"/>
  <c r="Q6" i="7"/>
  <c r="R5" i="7"/>
  <c r="Q5" i="7"/>
  <c r="R4" i="7"/>
  <c r="Q4" i="7"/>
  <c r="R3" i="7"/>
  <c r="Q3" i="7"/>
  <c r="R2" i="7"/>
  <c r="Q2" i="7"/>
  <c r="R6" i="6"/>
  <c r="Q6" i="6"/>
  <c r="R5" i="6"/>
  <c r="Q5" i="6"/>
  <c r="R4" i="6"/>
  <c r="Q4" i="6"/>
  <c r="R3" i="6"/>
  <c r="Q3" i="6"/>
  <c r="R2" i="6"/>
  <c r="Q2" i="6"/>
  <c r="R6" i="5"/>
  <c r="Q6" i="5"/>
  <c r="R5" i="5"/>
  <c r="Q5" i="5"/>
  <c r="R4" i="5"/>
  <c r="Q4" i="5"/>
  <c r="R3" i="5"/>
  <c r="Q3" i="5"/>
  <c r="R2" i="5"/>
  <c r="Q2" i="5"/>
  <c r="R6" i="4"/>
  <c r="Q6" i="4"/>
  <c r="R5" i="4"/>
  <c r="Q5" i="4"/>
  <c r="R4" i="4"/>
  <c r="Q4" i="4"/>
  <c r="R3" i="4"/>
  <c r="Q3" i="4"/>
  <c r="R2" i="4"/>
  <c r="Q2" i="4"/>
  <c r="R6" i="3"/>
  <c r="Q6" i="3"/>
  <c r="R5" i="3"/>
  <c r="Q5" i="3"/>
  <c r="R4" i="3"/>
  <c r="Q4" i="3"/>
  <c r="R3" i="3"/>
  <c r="Q3" i="3"/>
  <c r="R2" i="3"/>
  <c r="Q2" i="3"/>
  <c r="R6" i="2"/>
  <c r="Q6" i="2"/>
  <c r="R5" i="2"/>
  <c r="Q5" i="2"/>
  <c r="R4" i="2"/>
  <c r="Q4" i="2"/>
  <c r="R3" i="2"/>
  <c r="Q3" i="2"/>
  <c r="R2" i="2"/>
  <c r="Q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39CC02-F9FB-AC44-8495-58F9CA031D18}" name="yabure-20230621-16c-1000umol-0h-21" type="6" refreshedVersion="8" background="1" saveData="1">
    <textPr sourceFile="/Users/ryutaterada/Library/CloudStorage/Dropbox/Terada_DATA_2023/1_Project/Ulva_Umbraulva_study_Nagashima/Ulva_lacinulata_アオサリカ/2_PAM_Inhibition/yabure-20230621-16c-1000umol-2/yabure-20230621-16c-1000umol-0h-2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A186B1C-6564-074C-834F-76636E33A2EC}" name="yabure-20230621-16c-1000umol-18h-21" type="6" refreshedVersion="8" background="1" saveData="1">
    <textPr sourceFile="/Users/ryutaterada/Library/CloudStorage/Dropbox/Terada_DATA_2023/1_Project/Ulva_Umbraulva_study_Nagashima/Ulva_lacinulata_アオサリカ/2_PAM_Inhibition/yabure-20230621-16c-1000umol-2/yabure-20230621-16c-1000umol-18h-2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437E80F8-10F9-E64D-B779-D559D42BEA5C}" name="yabure-20230621-16c-1000umol-2h-21" type="6" refreshedVersion="8" background="1" saveData="1">
    <textPr sourceFile="/Users/ryutaterada/Library/CloudStorage/Dropbox/Terada_DATA_2023/1_Project/Ulva_Umbraulva_study_Nagashima/Ulva_lacinulata_アオサリカ/2_PAM_Inhibition/yabure-20230621-16c-1000umol-2/yabure-20230621-16c-1000umol-2h-2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E8FF8466-D9F3-8241-B478-6FCB763C7514}" name="yabure-20230621-16c-1000umol-4h-21" type="6" refreshedVersion="8" background="1" saveData="1">
    <textPr sourceFile="/Users/ryutaterada/Library/CloudStorage/Dropbox/Terada_DATA_2023/1_Project/Ulva_Umbraulva_study_Nagashima/Ulva_lacinulata_アオサリカ/2_PAM_Inhibition/yabure-20230621-16c-1000umol-2/yabure-20230621-16c-1000umol-4h-2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3399AD0C-F94E-5D41-BBF0-C4B3A1B486F4}" name="yabure-20230621-16c-1000umol-6h-21" type="6" refreshedVersion="8" background="1" saveData="1">
    <textPr sourceFile="/Users/ryutaterada/Library/CloudStorage/Dropbox/Terada_DATA_2023/1_Project/Ulva_Umbraulva_study_Nagashima/Ulva_lacinulata_アオサリカ/2_PAM_Inhibition/yabure-20230621-16c-1000umol-2/yabure-20230621-16c-1000umol-6h-2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<sst xmlns="http://schemas.openxmlformats.org/spreadsheetml/2006/main" count="127" uniqueCount="33">
  <si>
    <t>Date</t>
  </si>
  <si>
    <t>Time</t>
  </si>
  <si>
    <t>PAR</t>
  </si>
  <si>
    <t>Y(II)1</t>
  </si>
  <si>
    <t>Y(II)2</t>
  </si>
  <si>
    <t>Y(II)3</t>
  </si>
  <si>
    <t>Y(II)4</t>
  </si>
  <si>
    <t>Y(II)5</t>
  </si>
  <si>
    <t>Y(II)6</t>
  </si>
  <si>
    <t>Y(II)7</t>
  </si>
  <si>
    <t>Y(II)8</t>
  </si>
  <si>
    <t>Y(II)9</t>
  </si>
  <si>
    <t>Y(II)10</t>
  </si>
  <si>
    <t>21.06.23</t>
  </si>
  <si>
    <t>22.06.23</t>
  </si>
  <si>
    <t>Temp</t>
  </si>
  <si>
    <t>Hours</t>
  </si>
  <si>
    <t>Mean</t>
    <phoneticPr fontId="0"/>
  </si>
  <si>
    <t>SD</t>
    <phoneticPr fontId="0"/>
  </si>
  <si>
    <t>Temp</t>
    <phoneticPr fontId="0"/>
  </si>
  <si>
    <t>PAR</t>
    <phoneticPr fontId="0"/>
  </si>
  <si>
    <t>Hours</t>
    <phoneticPr fontId="0"/>
  </si>
  <si>
    <t>09.05.23</t>
  </si>
  <si>
    <t>10.05.23</t>
  </si>
  <si>
    <t>06.05.23</t>
  </si>
  <si>
    <t>07.05.23</t>
  </si>
  <si>
    <t>08.05.23</t>
  </si>
  <si>
    <t>Mean</t>
    <phoneticPr fontId="2"/>
  </si>
  <si>
    <t>SD</t>
    <phoneticPr fontId="2"/>
  </si>
  <si>
    <t>Mean</t>
    <phoneticPr fontId="1"/>
  </si>
  <si>
    <t>SD</t>
    <phoneticPr fontId="1"/>
  </si>
  <si>
    <t>04.05.23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</si>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</sst>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F400]h:mm:ss\ AM/PM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charset val="128"/>
      <scheme val="minor"/>
    </font>
    <font>
      <sz val="12"/>
      <color theme="1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>
      <alignment vertical="center"/>
    </xf>
    <xf numFmtId="0" fontId="4" fillId="0" borderId="0">
      <alignment vertical="center"/>
    </xf>
  </cellStyleXfs>
  <cellXfs count="23">
    <xf numFmtId="0" fontId="0" fillId="0" borderId="0" xfId="0"/>
    <xf numFmtId="0" fontId="1" fillId="0" borderId="0" xfId="0" applyFont="1"/>
    <xf numFmtId="21" fontId="1" fillId="0" borderId="0" xfId="0" applyNumberFormat="1" applyFont="1"/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1" applyFont="1">
      <alignment vertical="center"/>
    </xf>
    <xf numFmtId="0" fontId="2" fillId="0" borderId="0" xfId="1" applyFont="1">
      <alignment vertical="center"/>
    </xf>
    <xf numFmtId="0" fontId="3" fillId="0" borderId="0" xfId="1">
      <alignment vertical="center"/>
    </xf>
    <xf numFmtId="21" fontId="2" fillId="0" borderId="0" xfId="1" applyNumberFormat="1" applyFont="1">
      <alignment vertical="center"/>
    </xf>
    <xf numFmtId="164" fontId="2" fillId="0" borderId="0" xfId="1" applyNumberFormat="1" applyFont="1">
      <alignment vertical="center"/>
    </xf>
    <xf numFmtId="164" fontId="1" fillId="0" borderId="0" xfId="1" applyNumberFormat="1" applyFont="1">
      <alignment vertical="center"/>
    </xf>
    <xf numFmtId="0" fontId="1" fillId="0" borderId="0" xfId="2" applyFont="1">
      <alignment vertical="center"/>
    </xf>
    <xf numFmtId="14" fontId="2" fillId="0" borderId="0" xfId="2" applyNumberFormat="1" applyFont="1">
      <alignment vertical="center"/>
    </xf>
    <xf numFmtId="165" fontId="2" fillId="0" borderId="0" xfId="2" applyNumberFormat="1" applyFont="1">
      <alignment vertical="center"/>
    </xf>
    <xf numFmtId="164" fontId="2" fillId="0" borderId="0" xfId="2" applyNumberFormat="1" applyFont="1">
      <alignment vertical="center"/>
    </xf>
    <xf numFmtId="164" fontId="1" fillId="0" borderId="0" xfId="2" applyNumberFormat="1" applyFont="1">
      <alignment vertical="center"/>
    </xf>
    <xf numFmtId="0" fontId="2" fillId="0" borderId="0" xfId="2" applyFont="1">
      <alignment vertical="center"/>
    </xf>
    <xf numFmtId="0" fontId="4" fillId="0" borderId="0" xfId="2">
      <alignment vertical="center"/>
    </xf>
    <xf numFmtId="14" fontId="2" fillId="0" borderId="0" xfId="1" applyNumberFormat="1" applyFont="1">
      <alignment vertical="center"/>
    </xf>
    <xf numFmtId="165" fontId="2" fillId="0" borderId="0" xfId="1" applyNumberFormat="1" applyFont="1">
      <alignment vertical="center"/>
    </xf>
  </cellXfs>
  <cellStyles count="3">
    <cellStyle name="Normal" xfId="0" builtinId="0"/>
    <cellStyle name="Normal 2" xfId="1" xr:uid="{FABAB9FE-0CF9-8D44-9B14-50351DE40511}"/>
    <cellStyle name="Normal 3" xfId="2" xr:uid="{94840EC1-2474-B448-81E8-AECDCBB58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'28˚C_1000umol-2'!$R$2:$R$6</c:f>
                <c:numCache>
                  <c:formatCode>General</c:formatCode>
                  <c:ptCount val="5"/>
                  <c:pt idx="0">
                    <c:v>8.2486362509204894E-3</c:v>
                  </c:pt>
                  <c:pt idx="1">
                    <c:v>8.5197945984630444E-2</c:v>
                  </c:pt>
                  <c:pt idx="2">
                    <c:v>8.2525208269958336E-2</c:v>
                  </c:pt>
                  <c:pt idx="3">
                    <c:v>8.0748003071283408E-2</c:v>
                  </c:pt>
                  <c:pt idx="4">
                    <c:v>7.5875160625859986E-2</c:v>
                  </c:pt>
                </c:numCache>
              </c:numRef>
            </c:plus>
            <c:minus>
              <c:numRef>
                <c:f>'28˚C_1000umol-2'!$R$2:$R$6</c:f>
                <c:numCache>
                  <c:formatCode>General</c:formatCode>
                  <c:ptCount val="5"/>
                  <c:pt idx="0">
                    <c:v>8.2486362509204894E-3</c:v>
                  </c:pt>
                  <c:pt idx="1">
                    <c:v>8.5197945984630444E-2</c:v>
                  </c:pt>
                  <c:pt idx="2">
                    <c:v>8.2525208269958336E-2</c:v>
                  </c:pt>
                  <c:pt idx="3">
                    <c:v>8.0748003071283408E-2</c:v>
                  </c:pt>
                  <c:pt idx="4">
                    <c:v>7.5875160625859986E-2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'28˚C_1000umol-2'!$C$2:$C$6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18</c:v>
                </c:pt>
              </c:numCache>
            </c:numRef>
          </c:xVal>
          <c:yVal>
            <c:numRef>
              <c:f>'28˚C_1000umol-2'!$Q$2:$Q$6</c:f>
              <c:numCache>
                <c:formatCode>0.000</c:formatCode>
                <c:ptCount val="5"/>
                <c:pt idx="0">
                  <c:v>0.5524</c:v>
                </c:pt>
                <c:pt idx="1">
                  <c:v>0.16689999999999999</c:v>
                </c:pt>
                <c:pt idx="2">
                  <c:v>0.16070000000000001</c:v>
                </c:pt>
                <c:pt idx="3">
                  <c:v>0.16060000000000002</c:v>
                </c:pt>
                <c:pt idx="4">
                  <c:v>0.50359999999999994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9D-CD4B-9F51-ED6B40642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171840"/>
        <c:axId val="1435173520"/>
      </c:scatterChart>
      <c:valAx>
        <c:axId val="1435171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JP"/>
          </a:p>
        </c:txPr>
        <c:crossAx val="1435173520"/>
        <c:crosses val="autoZero"/>
        <c:crossBetween val="midCat"/>
        <c:majorUnit val="2"/>
      </c:valAx>
      <c:valAx>
        <c:axId val="1435173520"/>
        <c:scaling>
          <c:orientation val="minMax"/>
          <c:max val="0.8"/>
        </c:scaling>
        <c:delete val="0"/>
        <c:axPos val="l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JP"/>
          </a:p>
        </c:txPr>
        <c:crossAx val="14351718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'28˚C_200umol-2'!$R$2:$R$6</c:f>
                <c:numCache>
                  <c:formatCode>General</c:formatCode>
                  <c:ptCount val="5"/>
                  <c:pt idx="0">
                    <c:v>9.3962758580194723E-3</c:v>
                  </c:pt>
                  <c:pt idx="1">
                    <c:v>3.204996099841622E-2</c:v>
                  </c:pt>
                  <c:pt idx="2">
                    <c:v>1.8814887722226788E-2</c:v>
                  </c:pt>
                  <c:pt idx="3">
                    <c:v>2.525252462626263E-2</c:v>
                  </c:pt>
                  <c:pt idx="4">
                    <c:v>2.230448385414914E-2</c:v>
                  </c:pt>
                </c:numCache>
              </c:numRef>
            </c:plus>
            <c:minus>
              <c:numRef>
                <c:f>'28˚C_200umol-2'!$R$2:$R$6</c:f>
                <c:numCache>
                  <c:formatCode>General</c:formatCode>
                  <c:ptCount val="5"/>
                  <c:pt idx="0">
                    <c:v>9.3962758580194723E-3</c:v>
                  </c:pt>
                  <c:pt idx="1">
                    <c:v>3.204996099841622E-2</c:v>
                  </c:pt>
                  <c:pt idx="2">
                    <c:v>1.8814887722226788E-2</c:v>
                  </c:pt>
                  <c:pt idx="3">
                    <c:v>2.525252462626263E-2</c:v>
                  </c:pt>
                  <c:pt idx="4">
                    <c:v>2.230448385414914E-2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'28˚C_200umol-2'!$C$2:$C$6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18</c:v>
                </c:pt>
              </c:numCache>
            </c:numRef>
          </c:xVal>
          <c:yVal>
            <c:numRef>
              <c:f>'28˚C_200umol-2'!$Q$2:$Q$6</c:f>
              <c:numCache>
                <c:formatCode>0.000</c:formatCode>
                <c:ptCount val="5"/>
                <c:pt idx="0">
                  <c:v>0.56889999999999996</c:v>
                </c:pt>
                <c:pt idx="1">
                  <c:v>0.49399999999999994</c:v>
                </c:pt>
                <c:pt idx="2">
                  <c:v>0.48299999999999998</c:v>
                </c:pt>
                <c:pt idx="3">
                  <c:v>0.48889999999999995</c:v>
                </c:pt>
                <c:pt idx="4">
                  <c:v>0.6099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C0-B84B-9C24-773C427FA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171840"/>
        <c:axId val="1435173520"/>
      </c:scatterChart>
      <c:valAx>
        <c:axId val="1435171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JP"/>
          </a:p>
        </c:txPr>
        <c:crossAx val="1435173520"/>
        <c:crosses val="autoZero"/>
        <c:crossBetween val="midCat"/>
        <c:majorUnit val="2"/>
      </c:valAx>
      <c:valAx>
        <c:axId val="1435173520"/>
        <c:scaling>
          <c:orientation val="minMax"/>
          <c:max val="0.8"/>
        </c:scaling>
        <c:delete val="0"/>
        <c:axPos val="l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JP"/>
          </a:p>
        </c:txPr>
        <c:crossAx val="14351718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'16˚C_1000µmol_#2_analysis'!$R$2:$R$6</c:f>
                <c:numCache>
                  <c:formatCode>General</c:formatCode>
                  <c:ptCount val="5"/>
                  <c:pt idx="0">
                    <c:v>6.280127387243037E-3</c:v>
                  </c:pt>
                  <c:pt idx="1">
                    <c:v>1.2294714311442943E-2</c:v>
                  </c:pt>
                  <c:pt idx="2">
                    <c:v>1.5744522857171633E-2</c:v>
                  </c:pt>
                  <c:pt idx="3">
                    <c:v>1.5940200751558931E-2</c:v>
                  </c:pt>
                  <c:pt idx="4">
                    <c:v>8.9016852337071625E-3</c:v>
                  </c:pt>
                </c:numCache>
              </c:numRef>
            </c:plus>
            <c:minus>
              <c:numRef>
                <c:f>'16˚C_1000µmol_#2_analysis'!$R$2:$R$6</c:f>
                <c:numCache>
                  <c:formatCode>General</c:formatCode>
                  <c:ptCount val="5"/>
                  <c:pt idx="0">
                    <c:v>6.280127387243037E-3</c:v>
                  </c:pt>
                  <c:pt idx="1">
                    <c:v>1.2294714311442943E-2</c:v>
                  </c:pt>
                  <c:pt idx="2">
                    <c:v>1.5744522857171633E-2</c:v>
                  </c:pt>
                  <c:pt idx="3">
                    <c:v>1.5940200751558931E-2</c:v>
                  </c:pt>
                  <c:pt idx="4">
                    <c:v>8.9016852337071625E-3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'16˚C_1000µmol_#2_analysis'!$C$2:$C$6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18</c:v>
                </c:pt>
              </c:numCache>
            </c:numRef>
          </c:xVal>
          <c:yVal>
            <c:numRef>
              <c:f>'16˚C_1000µmol_#2_analysis'!$Q$2:$Q$6</c:f>
              <c:numCache>
                <c:formatCode>0.000</c:formatCode>
                <c:ptCount val="5"/>
                <c:pt idx="0">
                  <c:v>0.61159999999999992</c:v>
                </c:pt>
                <c:pt idx="1">
                  <c:v>0.26919999999999999</c:v>
                </c:pt>
                <c:pt idx="2">
                  <c:v>0.20389999999999997</c:v>
                </c:pt>
                <c:pt idx="3">
                  <c:v>0.18510000000000001</c:v>
                </c:pt>
                <c:pt idx="4">
                  <c:v>0.62439999999999996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1C-7844-A389-25B40F7C0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171840"/>
        <c:axId val="1435173520"/>
      </c:scatterChart>
      <c:valAx>
        <c:axId val="1435171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JP"/>
          </a:p>
        </c:txPr>
        <c:crossAx val="1435173520"/>
        <c:crosses val="autoZero"/>
        <c:crossBetween val="midCat"/>
        <c:majorUnit val="2"/>
      </c:valAx>
      <c:valAx>
        <c:axId val="1435173520"/>
        <c:scaling>
          <c:orientation val="minMax"/>
          <c:max val="0.8"/>
        </c:scaling>
        <c:delete val="0"/>
        <c:axPos val="l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JP"/>
          </a:p>
        </c:txPr>
        <c:crossAx val="14351718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'16˚C_200umol-2'!$R$2:$R$6</c:f>
                <c:numCache>
                  <c:formatCode>General</c:formatCode>
                  <c:ptCount val="5"/>
                  <c:pt idx="0">
                    <c:v>1.4560563175921472E-2</c:v>
                  </c:pt>
                  <c:pt idx="1">
                    <c:v>1.2377802712921212E-2</c:v>
                  </c:pt>
                  <c:pt idx="2">
                    <c:v>8.0870266476622994E-3</c:v>
                  </c:pt>
                  <c:pt idx="3">
                    <c:v>1.4036025078347494E-2</c:v>
                  </c:pt>
                  <c:pt idx="4">
                    <c:v>1.3239712987825692E-2</c:v>
                  </c:pt>
                </c:numCache>
              </c:numRef>
            </c:plus>
            <c:minus>
              <c:numRef>
                <c:f>'16˚C_200umol-2'!$R$2:$R$6</c:f>
                <c:numCache>
                  <c:formatCode>General</c:formatCode>
                  <c:ptCount val="5"/>
                  <c:pt idx="0">
                    <c:v>1.4560563175921472E-2</c:v>
                  </c:pt>
                  <c:pt idx="1">
                    <c:v>1.2377802712921212E-2</c:v>
                  </c:pt>
                  <c:pt idx="2">
                    <c:v>8.0870266476622994E-3</c:v>
                  </c:pt>
                  <c:pt idx="3">
                    <c:v>1.4036025078347494E-2</c:v>
                  </c:pt>
                  <c:pt idx="4">
                    <c:v>1.3239712987825692E-2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'16˚C_200umol-2'!$C$2:$C$6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18</c:v>
                </c:pt>
              </c:numCache>
            </c:numRef>
          </c:xVal>
          <c:yVal>
            <c:numRef>
              <c:f>'16˚C_200umol-2'!$Q$2:$Q$6</c:f>
              <c:numCache>
                <c:formatCode>0.000</c:formatCode>
                <c:ptCount val="5"/>
                <c:pt idx="0">
                  <c:v>0.61369999999999991</c:v>
                </c:pt>
                <c:pt idx="1">
                  <c:v>0.54370000000000007</c:v>
                </c:pt>
                <c:pt idx="2">
                  <c:v>0.54100000000000004</c:v>
                </c:pt>
                <c:pt idx="3">
                  <c:v>0.54530000000000012</c:v>
                </c:pt>
                <c:pt idx="4">
                  <c:v>0.63690000000000002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57-9043-96FA-63D0AC854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171840"/>
        <c:axId val="1435173520"/>
      </c:scatterChart>
      <c:valAx>
        <c:axId val="1435171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JP"/>
          </a:p>
        </c:txPr>
        <c:crossAx val="1435173520"/>
        <c:crosses val="autoZero"/>
        <c:crossBetween val="midCat"/>
        <c:majorUnit val="2"/>
      </c:valAx>
      <c:valAx>
        <c:axId val="1435173520"/>
        <c:scaling>
          <c:orientation val="minMax"/>
          <c:max val="0.8"/>
        </c:scaling>
        <c:delete val="0"/>
        <c:axPos val="l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JP"/>
          </a:p>
        </c:txPr>
        <c:crossAx val="14351718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'4c1000umol'!$R$2:$R$6</c:f>
                <c:numCache>
                  <c:formatCode>General</c:formatCode>
                  <c:ptCount val="5"/>
                  <c:pt idx="0">
                    <c:v>2.9073871431235292E-2</c:v>
                  </c:pt>
                  <c:pt idx="1">
                    <c:v>2.4100622398602074E-2</c:v>
                  </c:pt>
                  <c:pt idx="2">
                    <c:v>1.7168575945604808E-2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plus>
            <c:minus>
              <c:numRef>
                <c:f>'4c1000umol'!$R$2:$R$6</c:f>
                <c:numCache>
                  <c:formatCode>General</c:formatCode>
                  <c:ptCount val="5"/>
                  <c:pt idx="0">
                    <c:v>2.9073871431235292E-2</c:v>
                  </c:pt>
                  <c:pt idx="1">
                    <c:v>2.4100622398602074E-2</c:v>
                  </c:pt>
                  <c:pt idx="2">
                    <c:v>1.7168575945604808E-2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'4c1000umol'!$C$2:$C$6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18</c:v>
                </c:pt>
              </c:numCache>
            </c:numRef>
          </c:xVal>
          <c:yVal>
            <c:numRef>
              <c:f>'4c1000umol'!$Q$2:$Q$6</c:f>
              <c:numCache>
                <c:formatCode>0.000</c:formatCode>
                <c:ptCount val="5"/>
                <c:pt idx="0">
                  <c:v>0.57590000000000008</c:v>
                </c:pt>
                <c:pt idx="1">
                  <c:v>4.4599999999999994E-2</c:v>
                </c:pt>
                <c:pt idx="2">
                  <c:v>1.1200000000000002E-2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87-3F44-8935-04550E4E1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171840"/>
        <c:axId val="1435173520"/>
      </c:scatterChart>
      <c:valAx>
        <c:axId val="1435171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435173520"/>
        <c:crosses val="autoZero"/>
        <c:crossBetween val="midCat"/>
        <c:majorUnit val="2"/>
      </c:valAx>
      <c:valAx>
        <c:axId val="1435173520"/>
        <c:scaling>
          <c:orientation val="minMax"/>
          <c:max val="0.8"/>
          <c:min val="0"/>
        </c:scaling>
        <c:delete val="0"/>
        <c:axPos val="l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4351718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'4˚C_200µmol'!$R$2:$R$6</c:f>
                <c:numCache>
                  <c:formatCode>General</c:formatCode>
                  <c:ptCount val="5"/>
                  <c:pt idx="0">
                    <c:v>1.4772948250095523E-2</c:v>
                  </c:pt>
                  <c:pt idx="1">
                    <c:v>1.9873600579663461E-2</c:v>
                  </c:pt>
                  <c:pt idx="2">
                    <c:v>2.1871442567878329E-2</c:v>
                  </c:pt>
                  <c:pt idx="3">
                    <c:v>1.9035755829490984E-2</c:v>
                  </c:pt>
                  <c:pt idx="4">
                    <c:v>1.5027973915335375E-2</c:v>
                  </c:pt>
                </c:numCache>
              </c:numRef>
            </c:plus>
            <c:minus>
              <c:numRef>
                <c:f>'4˚C_200µmol'!$R$2:$R$6</c:f>
                <c:numCache>
                  <c:formatCode>General</c:formatCode>
                  <c:ptCount val="5"/>
                  <c:pt idx="0">
                    <c:v>1.4772948250095523E-2</c:v>
                  </c:pt>
                  <c:pt idx="1">
                    <c:v>1.9873600579663461E-2</c:v>
                  </c:pt>
                  <c:pt idx="2">
                    <c:v>2.1871442567878329E-2</c:v>
                  </c:pt>
                  <c:pt idx="3">
                    <c:v>1.9035755829490984E-2</c:v>
                  </c:pt>
                  <c:pt idx="4">
                    <c:v>1.5027973915335375E-2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'4˚C_200µmol'!$C$2:$C$6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18</c:v>
                </c:pt>
              </c:numCache>
            </c:numRef>
          </c:xVal>
          <c:yVal>
            <c:numRef>
              <c:f>'4˚C_200µmol'!$Q$2:$Q$6</c:f>
              <c:numCache>
                <c:formatCode>0.000</c:formatCode>
                <c:ptCount val="5"/>
                <c:pt idx="0">
                  <c:v>0.63239999999999996</c:v>
                </c:pt>
                <c:pt idx="1">
                  <c:v>0.28220000000000001</c:v>
                </c:pt>
                <c:pt idx="2">
                  <c:v>0.2278</c:v>
                </c:pt>
                <c:pt idx="3">
                  <c:v>0.2172</c:v>
                </c:pt>
                <c:pt idx="4">
                  <c:v>0.48959999999999998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B-4A49-84A1-45E01B01F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171840"/>
        <c:axId val="1435173520"/>
      </c:scatterChart>
      <c:valAx>
        <c:axId val="1435171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435173520"/>
        <c:crosses val="autoZero"/>
        <c:crossBetween val="midCat"/>
        <c:majorUnit val="2"/>
      </c:valAx>
      <c:valAx>
        <c:axId val="1435173520"/>
        <c:scaling>
          <c:orientation val="minMax"/>
          <c:max val="0.8"/>
        </c:scaling>
        <c:delete val="0"/>
        <c:axPos val="l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4351718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8</xdr:row>
      <xdr:rowOff>0</xdr:rowOff>
    </xdr:from>
    <xdr:to>
      <xdr:col>11</xdr:col>
      <xdr:colOff>551180</xdr:colOff>
      <xdr:row>20</xdr:row>
      <xdr:rowOff>0</xdr:rowOff>
    </xdr:to>
    <xdr:graphicFrame macro="">
      <xdr:nvGraphicFramePr>
        <xdr:cNvPr id="2" name="グラフ 2">
          <a:extLst>
            <a:ext uri="{FF2B5EF4-FFF2-40B4-BE49-F238E27FC236}">
              <a16:creationId xmlns:a16="http://schemas.microsoft.com/office/drawing/2014/main" id="{D83F6B86-0C7D-2049-98A8-ECA2C2E59D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10</xdr:col>
      <xdr:colOff>551180</xdr:colOff>
      <xdr:row>21</xdr:row>
      <xdr:rowOff>0</xdr:rowOff>
    </xdr:to>
    <xdr:graphicFrame macro="">
      <xdr:nvGraphicFramePr>
        <xdr:cNvPr id="2" name="グラフ 2">
          <a:extLst>
            <a:ext uri="{FF2B5EF4-FFF2-40B4-BE49-F238E27FC236}">
              <a16:creationId xmlns:a16="http://schemas.microsoft.com/office/drawing/2014/main" id="{14A59FE2-8014-CA40-A6DD-08E80E96EA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11</xdr:col>
      <xdr:colOff>157480</xdr:colOff>
      <xdr:row>19</xdr:row>
      <xdr:rowOff>50800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731C411-2F68-7748-95FE-89F1DB65B0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163830</xdr:colOff>
      <xdr:row>8</xdr:row>
      <xdr:rowOff>22860</xdr:rowOff>
    </xdr:from>
    <xdr:to>
      <xdr:col>13</xdr:col>
      <xdr:colOff>41910</xdr:colOff>
      <xdr:row>20</xdr:row>
      <xdr:rowOff>22860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40BFEF7-CF16-8E4E-9FCD-590690F1A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0</xdr:rowOff>
    </xdr:from>
    <xdr:to>
      <xdr:col>13</xdr:col>
      <xdr:colOff>472440</xdr:colOff>
      <xdr:row>20</xdr:row>
      <xdr:rowOff>0</xdr:rowOff>
    </xdr:to>
    <xdr:graphicFrame macro="">
      <xdr:nvGraphicFramePr>
        <xdr:cNvPr id="2" name="グラフ 2">
          <a:extLst>
            <a:ext uri="{FF2B5EF4-FFF2-40B4-BE49-F238E27FC236}">
              <a16:creationId xmlns:a16="http://schemas.microsoft.com/office/drawing/2014/main" id="{9227E7AD-0FD4-4845-92BC-3C43E3A2D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368300</xdr:colOff>
      <xdr:row>8</xdr:row>
      <xdr:rowOff>12700</xdr:rowOff>
    </xdr:from>
    <xdr:to>
      <xdr:col>9</xdr:col>
      <xdr:colOff>195580</xdr:colOff>
      <xdr:row>18</xdr:row>
      <xdr:rowOff>215900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4538470-B016-CB4E-A69B-5063765A7F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eradaryuuta/Library/CloudStorage/Dropbox/Terada_DATA_2020s/Terada_DATA_2023/1_Project/Ulva_Umbraulva_study_Nagashima/Ulva_australis_PAM/&#20303;&#21513;&#12367;&#12435;&#12486;&#12441;&#12540;&#12479;_20230510/200umol_4c.xlsx" TargetMode="External"/><Relationship Id="rId1" Type="http://schemas.openxmlformats.org/officeDocument/2006/relationships/externalLinkPath" Target="/Users/teradaryuuta/Library/CloudStorage/Dropbox/Terada_DATA_2020s/Terada_DATA_2023/1_Project/Ulva_Umbraulva_study_Nagashima/Ulva_australis_PAM/&#20303;&#21513;&#12367;&#12435;&#12486;&#12441;&#12540;&#12479;_20230510/200umol_4c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eradaryuuta/Library/CloudStorage/Dropbox/Terada_DATA_2020s/Terada_DATA_2023/1_Project/Ulva_Umbraulva_study_Nagashima/Ulva_australis_PAM/&#20303;&#21513;&#12367;&#12435;&#12486;&#12441;&#12540;&#12479;_20230510/yabure-202304-4.16.28c-1000umol%20data_terada20230515.xlsx" TargetMode="External"/><Relationship Id="rId1" Type="http://schemas.openxmlformats.org/officeDocument/2006/relationships/externalLinkPath" Target="/Users/teradaryuuta/Library/CloudStorage/Dropbox/Terada_DATA_2020s/Terada_DATA_2023/1_Project/Ulva_Umbraulva_study_Nagashima/Ulva_australis_PAM/&#20303;&#21513;&#12367;&#12435;&#12486;&#12441;&#12540;&#12479;_20230510/yabure-202304-4.16.28c-1000umol%20data_terada202305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˚C_200µmol"/>
    </sheetNames>
    <sheetDataSet>
      <sheetData sheetId="0">
        <row r="2">
          <cell r="C2">
            <v>0</v>
          </cell>
          <cell r="Q2">
            <v>0.63239999999999996</v>
          </cell>
          <cell r="R2">
            <v>1.4772948250095523E-2</v>
          </cell>
        </row>
        <row r="3">
          <cell r="C3">
            <v>2</v>
          </cell>
          <cell r="Q3">
            <v>0.28220000000000001</v>
          </cell>
          <cell r="R3">
            <v>1.9873600579663461E-2</v>
          </cell>
        </row>
        <row r="4">
          <cell r="C4">
            <v>4</v>
          </cell>
          <cell r="Q4">
            <v>0.2278</v>
          </cell>
          <cell r="R4">
            <v>2.1871442567878329E-2</v>
          </cell>
        </row>
        <row r="5">
          <cell r="C5">
            <v>6</v>
          </cell>
          <cell r="Q5">
            <v>0.2172</v>
          </cell>
          <cell r="R5">
            <v>1.9035755829490984E-2</v>
          </cell>
        </row>
        <row r="6">
          <cell r="C6">
            <v>18</v>
          </cell>
          <cell r="Q6">
            <v>0.48959999999999998</v>
          </cell>
          <cell r="R6">
            <v>1.5027973915335375E-2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c1000umol"/>
      <sheetName val="16c1000umol"/>
      <sheetName val="28c1000umol"/>
    </sheetNames>
    <sheetDataSet>
      <sheetData sheetId="0">
        <row r="2">
          <cell r="C2">
            <v>0</v>
          </cell>
          <cell r="Q2">
            <v>0.57590000000000008</v>
          </cell>
          <cell r="R2">
            <v>2.9073871431235292E-2</v>
          </cell>
        </row>
        <row r="3">
          <cell r="C3">
            <v>2</v>
          </cell>
          <cell r="Q3">
            <v>4.4599999999999994E-2</v>
          </cell>
          <cell r="R3">
            <v>2.4100622398602074E-2</v>
          </cell>
        </row>
        <row r="4">
          <cell r="C4">
            <v>4</v>
          </cell>
          <cell r="Q4">
            <v>1.1200000000000002E-2</v>
          </cell>
          <cell r="R4">
            <v>1.7168575945604808E-2</v>
          </cell>
        </row>
        <row r="5">
          <cell r="C5">
            <v>6</v>
          </cell>
          <cell r="Q5">
            <v>0</v>
          </cell>
          <cell r="R5">
            <v>0</v>
          </cell>
        </row>
        <row r="6">
          <cell r="C6">
            <v>18</v>
          </cell>
          <cell r="Q6">
            <v>0</v>
          </cell>
          <cell r="R6">
            <v>0</v>
          </cell>
        </row>
      </sheetData>
      <sheetData sheetId="1" refreshError="1"/>
      <sheetData sheetId="2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621-16c-1000umol-0h-2" connectionId="1" xr16:uid="{9AC876C7-4244-F44B-AA28-479438312D29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621-16c-1000umol-2h-2" connectionId="3" xr16:uid="{C4684FAE-FDA5-A14E-9789-F93063D7E06D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621-16c-1000umol-4h-2" connectionId="4" xr16:uid="{DFA598A0-85C1-9D44-AFF0-AEA43FC3CECA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621-16c-1000umol-6h-2" connectionId="5" xr16:uid="{2256B438-5FAA-B445-82C0-8F4B90CCE91E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621-16c-1000umol-18h-2" connectionId="2" xr16:uid="{3050C217-05BA-B842-8EBB-EB0971F6C0E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3.xml"/><Relationship Id="rId6" Type="http://schemas.openxmlformats.org/officeDocument/2006/relationships/queryTable" Target="../queryTables/queryTable5.xml"/><Relationship Id="rId5" Type="http://schemas.openxmlformats.org/officeDocument/2006/relationships/queryTable" Target="../queryTables/queryTable4.xml"/><Relationship Id="rId4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24302-4EC9-9344-91AE-DAA190821EE0}">
  <dimension ref="A1:S7"/>
  <sheetViews>
    <sheetView workbookViewId="0">
      <selection activeCell="E37" sqref="E37"/>
    </sheetView>
  </sheetViews>
  <sheetFormatPr baseColWidth="10" defaultColWidth="8.83203125" defaultRowHeight="15" x14ac:dyDescent="0.2"/>
  <cols>
    <col min="1" max="3" width="8.83203125" style="10"/>
    <col min="4" max="16" width="8.83203125" style="9"/>
    <col min="17" max="18" width="8.83203125" style="10"/>
    <col min="19" max="16384" width="8.83203125" style="9"/>
  </cols>
  <sheetData>
    <row r="1" spans="1:19" ht="16" x14ac:dyDescent="0.2">
      <c r="A1" s="8" t="s">
        <v>19</v>
      </c>
      <c r="B1" s="8" t="s">
        <v>20</v>
      </c>
      <c r="C1" s="8" t="s">
        <v>21</v>
      </c>
      <c r="D1" s="9" t="s">
        <v>0</v>
      </c>
      <c r="E1" s="9" t="s">
        <v>1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9" t="s">
        <v>12</v>
      </c>
      <c r="Q1" s="8" t="s">
        <v>17</v>
      </c>
      <c r="R1" s="8" t="s">
        <v>18</v>
      </c>
    </row>
    <row r="2" spans="1:19" ht="16" x14ac:dyDescent="0.2">
      <c r="A2" s="9">
        <v>28</v>
      </c>
      <c r="B2" s="9">
        <v>1000</v>
      </c>
      <c r="C2" s="9">
        <v>0</v>
      </c>
      <c r="D2" s="9" t="s">
        <v>25</v>
      </c>
      <c r="E2" s="11">
        <v>0.54400462962962959</v>
      </c>
      <c r="F2" s="9">
        <v>0.54600000000000004</v>
      </c>
      <c r="G2" s="9">
        <v>0.54800000000000004</v>
      </c>
      <c r="H2" s="9">
        <v>0.56200000000000006</v>
      </c>
      <c r="I2" s="9">
        <v>0.56399999999999995</v>
      </c>
      <c r="J2" s="9">
        <v>0.55300000000000005</v>
      </c>
      <c r="K2" s="9">
        <v>0.53800000000000003</v>
      </c>
      <c r="L2" s="9">
        <v>0.55400000000000005</v>
      </c>
      <c r="M2" s="9">
        <v>0.54400000000000004</v>
      </c>
      <c r="N2" s="9">
        <v>0.55200000000000005</v>
      </c>
      <c r="O2" s="9">
        <v>0.56299999999999994</v>
      </c>
      <c r="Q2" s="12">
        <f>AVERAGE(F2:O2)</f>
        <v>0.5524</v>
      </c>
      <c r="R2" s="13">
        <f>_xlfn.STDEV.P(F2:O2)</f>
        <v>8.2486362509204894E-3</v>
      </c>
      <c r="S2" s="12"/>
    </row>
    <row r="3" spans="1:19" ht="16" x14ac:dyDescent="0.2">
      <c r="A3" s="9">
        <v>28</v>
      </c>
      <c r="B3" s="9">
        <v>1000</v>
      </c>
      <c r="C3" s="9">
        <v>2</v>
      </c>
      <c r="D3" s="9" t="s">
        <v>25</v>
      </c>
      <c r="E3" s="11">
        <v>0.62869212962962961</v>
      </c>
      <c r="F3" s="9">
        <v>0.185</v>
      </c>
      <c r="G3" s="9">
        <v>0.193</v>
      </c>
      <c r="H3" s="9">
        <v>0</v>
      </c>
      <c r="I3" s="9">
        <v>0</v>
      </c>
      <c r="J3" s="9">
        <v>0.222</v>
      </c>
      <c r="K3" s="9">
        <v>0.23699999999999999</v>
      </c>
      <c r="L3" s="9">
        <v>0.23200000000000001</v>
      </c>
      <c r="M3" s="9">
        <v>0.214</v>
      </c>
      <c r="N3" s="9">
        <v>0.2</v>
      </c>
      <c r="O3" s="9">
        <v>0.186</v>
      </c>
      <c r="Q3" s="12">
        <f t="shared" ref="Q3:Q6" si="0">AVERAGE(F3:O3)</f>
        <v>0.16689999999999999</v>
      </c>
      <c r="R3" s="13">
        <f t="shared" ref="R3:R6" si="1">_xlfn.STDEV.P(F3:O3)</f>
        <v>8.5197945984630444E-2</v>
      </c>
      <c r="S3" s="12"/>
    </row>
    <row r="4" spans="1:19" ht="16" x14ac:dyDescent="0.2">
      <c r="A4" s="9">
        <v>28</v>
      </c>
      <c r="B4" s="9">
        <v>1000</v>
      </c>
      <c r="C4" s="9">
        <v>4</v>
      </c>
      <c r="D4" s="9" t="s">
        <v>25</v>
      </c>
      <c r="E4" s="11">
        <v>0.70989583333333339</v>
      </c>
      <c r="F4" s="9">
        <v>0.23499999999999999</v>
      </c>
      <c r="G4" s="9">
        <v>0.23499999999999999</v>
      </c>
      <c r="H4" s="9">
        <v>0.20300000000000001</v>
      </c>
      <c r="I4" s="9">
        <v>0.189</v>
      </c>
      <c r="J4" s="9">
        <v>0.17399999999999999</v>
      </c>
      <c r="K4" s="9">
        <v>0.193</v>
      </c>
      <c r="L4" s="9">
        <v>0.19</v>
      </c>
      <c r="M4" s="9">
        <v>0.188</v>
      </c>
      <c r="N4" s="9">
        <v>0</v>
      </c>
      <c r="O4" s="9">
        <v>0</v>
      </c>
      <c r="Q4" s="12">
        <f t="shared" si="0"/>
        <v>0.16070000000000001</v>
      </c>
      <c r="R4" s="13">
        <f t="shared" si="1"/>
        <v>8.2525208269958336E-2</v>
      </c>
      <c r="S4" s="12"/>
    </row>
    <row r="5" spans="1:19" ht="16" x14ac:dyDescent="0.2">
      <c r="A5" s="9">
        <v>28</v>
      </c>
      <c r="B5" s="9">
        <v>1000</v>
      </c>
      <c r="C5" s="9">
        <v>6</v>
      </c>
      <c r="D5" s="9" t="s">
        <v>25</v>
      </c>
      <c r="E5" s="11">
        <v>0.79295138888888894</v>
      </c>
      <c r="F5" s="9">
        <v>0.20899999999999999</v>
      </c>
      <c r="G5" s="9">
        <v>0.19800000000000001</v>
      </c>
      <c r="H5" s="9">
        <v>0</v>
      </c>
      <c r="I5" s="9">
        <v>0</v>
      </c>
      <c r="J5" s="9">
        <v>0.19400000000000001</v>
      </c>
      <c r="K5" s="9">
        <v>0.20699999999999999</v>
      </c>
      <c r="L5" s="9">
        <v>0.19900000000000001</v>
      </c>
      <c r="M5" s="9">
        <v>0.21299999999999999</v>
      </c>
      <c r="N5" s="9">
        <v>0.18099999999999999</v>
      </c>
      <c r="O5" s="9">
        <v>0.20499999999999999</v>
      </c>
      <c r="Q5" s="12">
        <f t="shared" si="0"/>
        <v>0.16060000000000002</v>
      </c>
      <c r="R5" s="13">
        <f t="shared" si="1"/>
        <v>8.0748003071283408E-2</v>
      </c>
      <c r="S5" s="12"/>
    </row>
    <row r="6" spans="1:19" ht="16" x14ac:dyDescent="0.2">
      <c r="A6" s="9">
        <v>28</v>
      </c>
      <c r="B6" s="9">
        <v>1000</v>
      </c>
      <c r="C6" s="9">
        <v>18</v>
      </c>
      <c r="D6" s="9" t="s">
        <v>26</v>
      </c>
      <c r="E6" s="11">
        <v>0.2940625</v>
      </c>
      <c r="F6" s="9">
        <v>0.53300000000000003</v>
      </c>
      <c r="G6" s="9">
        <v>0.51800000000000002</v>
      </c>
      <c r="H6" s="9">
        <v>0.54900000000000004</v>
      </c>
      <c r="I6" s="9">
        <v>0.53600000000000003</v>
      </c>
      <c r="J6" s="9">
        <v>0.56799999999999995</v>
      </c>
      <c r="K6" s="9">
        <v>0.56000000000000005</v>
      </c>
      <c r="L6" s="9">
        <v>0.51900000000000002</v>
      </c>
      <c r="M6" s="9">
        <v>0.54200000000000004</v>
      </c>
      <c r="N6" s="9">
        <v>0.34</v>
      </c>
      <c r="O6" s="9">
        <v>0.371</v>
      </c>
      <c r="Q6" s="12">
        <f t="shared" si="0"/>
        <v>0.50359999999999994</v>
      </c>
      <c r="R6" s="13">
        <f t="shared" si="1"/>
        <v>7.5875160625859986E-2</v>
      </c>
      <c r="S6" s="12"/>
    </row>
    <row r="7" spans="1:19" ht="16" x14ac:dyDescent="0.2">
      <c r="A7" s="9"/>
      <c r="B7" s="9"/>
      <c r="C7" s="9"/>
      <c r="Q7" s="9"/>
      <c r="R7" s="1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E9BF-0CF2-644B-87B8-041EBF549200}">
  <dimension ref="A1:S7"/>
  <sheetViews>
    <sheetView workbookViewId="0">
      <selection activeCell="Q16" sqref="Q16"/>
    </sheetView>
  </sheetViews>
  <sheetFormatPr baseColWidth="10" defaultColWidth="8.83203125" defaultRowHeight="15" x14ac:dyDescent="0.2"/>
  <cols>
    <col min="1" max="3" width="8.83203125" style="10"/>
    <col min="4" max="16" width="8.83203125" style="9"/>
    <col min="17" max="18" width="8.83203125" style="10"/>
    <col min="19" max="16384" width="8.83203125" style="9"/>
  </cols>
  <sheetData>
    <row r="1" spans="1:19" ht="16" x14ac:dyDescent="0.2">
      <c r="A1" s="8" t="s">
        <v>19</v>
      </c>
      <c r="B1" s="8" t="s">
        <v>20</v>
      </c>
      <c r="C1" s="8" t="s">
        <v>21</v>
      </c>
      <c r="D1" s="9" t="s">
        <v>0</v>
      </c>
      <c r="E1" s="9" t="s">
        <v>1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9" t="s">
        <v>12</v>
      </c>
      <c r="Q1" s="8" t="s">
        <v>17</v>
      </c>
      <c r="R1" s="8" t="s">
        <v>18</v>
      </c>
    </row>
    <row r="2" spans="1:19" ht="16" x14ac:dyDescent="0.2">
      <c r="A2" s="9">
        <v>28</v>
      </c>
      <c r="B2" s="9">
        <v>200</v>
      </c>
      <c r="C2" s="9">
        <v>0</v>
      </c>
      <c r="D2" s="9" t="s">
        <v>24</v>
      </c>
      <c r="E2" s="11">
        <v>0.54548611111111112</v>
      </c>
      <c r="F2" s="9">
        <v>0.57099999999999995</v>
      </c>
      <c r="G2" s="9">
        <v>0.55700000000000005</v>
      </c>
      <c r="H2" s="9">
        <v>0.56399999999999995</v>
      </c>
      <c r="I2" s="9">
        <v>0.55500000000000005</v>
      </c>
      <c r="J2" s="9">
        <v>0.56899999999999995</v>
      </c>
      <c r="K2" s="9">
        <v>0.56299999999999994</v>
      </c>
      <c r="L2" s="9">
        <v>0.58799999999999997</v>
      </c>
      <c r="M2" s="9">
        <v>0.57899999999999996</v>
      </c>
      <c r="N2" s="9">
        <v>0.57299999999999995</v>
      </c>
      <c r="O2" s="9">
        <v>0.56999999999999995</v>
      </c>
      <c r="Q2" s="12">
        <f>AVERAGE(F2:O2)</f>
        <v>0.56889999999999996</v>
      </c>
      <c r="R2" s="13">
        <f>_xlfn.STDEV.P(F2:O2)</f>
        <v>9.3962758580194723E-3</v>
      </c>
      <c r="S2" s="12"/>
    </row>
    <row r="3" spans="1:19" ht="16" x14ac:dyDescent="0.2">
      <c r="A3" s="9">
        <v>28</v>
      </c>
      <c r="B3" s="9">
        <v>200</v>
      </c>
      <c r="C3" s="9">
        <v>2</v>
      </c>
      <c r="D3" s="9" t="s">
        <v>24</v>
      </c>
      <c r="E3" s="11">
        <v>0.62409722222222219</v>
      </c>
      <c r="F3" s="9">
        <v>0.55000000000000004</v>
      </c>
      <c r="G3" s="9">
        <v>0.54600000000000004</v>
      </c>
      <c r="H3" s="9">
        <v>0.48899999999999999</v>
      </c>
      <c r="I3" s="9">
        <v>0.48799999999999999</v>
      </c>
      <c r="J3" s="9">
        <v>0.504</v>
      </c>
      <c r="K3" s="9">
        <v>0.503</v>
      </c>
      <c r="L3" s="9">
        <v>0.48799999999999999</v>
      </c>
      <c r="M3" s="9">
        <v>0.46600000000000003</v>
      </c>
      <c r="N3" s="9">
        <v>0.45500000000000002</v>
      </c>
      <c r="O3" s="9">
        <v>0.45100000000000001</v>
      </c>
      <c r="Q3" s="12">
        <f t="shared" ref="Q3:Q6" si="0">AVERAGE(F3:O3)</f>
        <v>0.49399999999999994</v>
      </c>
      <c r="R3" s="13">
        <f t="shared" ref="R3:R6" si="1">_xlfn.STDEV.P(F3:O3)</f>
        <v>3.204996099841622E-2</v>
      </c>
      <c r="S3" s="12"/>
    </row>
    <row r="4" spans="1:19" ht="16" x14ac:dyDescent="0.2">
      <c r="A4" s="9">
        <v>28</v>
      </c>
      <c r="B4" s="9">
        <v>200</v>
      </c>
      <c r="C4" s="9">
        <v>4</v>
      </c>
      <c r="D4" s="9" t="s">
        <v>24</v>
      </c>
      <c r="E4" s="11">
        <v>0.70978009259259256</v>
      </c>
      <c r="F4" s="9">
        <v>0.47</v>
      </c>
      <c r="G4" s="9">
        <v>0.46800000000000003</v>
      </c>
      <c r="H4" s="9">
        <v>0.47799999999999998</v>
      </c>
      <c r="I4" s="9">
        <v>0.47899999999999998</v>
      </c>
      <c r="J4" s="9">
        <v>0.47199999999999998</v>
      </c>
      <c r="K4" s="9">
        <v>0.48599999999999999</v>
      </c>
      <c r="L4" s="9">
        <v>0.46100000000000002</v>
      </c>
      <c r="M4" s="9">
        <v>0.48</v>
      </c>
      <c r="N4" s="9">
        <v>0.51400000000000001</v>
      </c>
      <c r="O4" s="9">
        <v>0.52200000000000002</v>
      </c>
      <c r="Q4" s="12">
        <f t="shared" si="0"/>
        <v>0.48299999999999998</v>
      </c>
      <c r="R4" s="13">
        <f t="shared" si="1"/>
        <v>1.8814887722226788E-2</v>
      </c>
      <c r="S4" s="12"/>
    </row>
    <row r="5" spans="1:19" ht="16" x14ac:dyDescent="0.2">
      <c r="A5" s="9">
        <v>28</v>
      </c>
      <c r="B5" s="9">
        <v>200</v>
      </c>
      <c r="C5" s="9">
        <v>6</v>
      </c>
      <c r="D5" s="9" t="s">
        <v>24</v>
      </c>
      <c r="E5" s="11">
        <v>0.79208333333333336</v>
      </c>
      <c r="F5" s="9">
        <v>0.47199999999999998</v>
      </c>
      <c r="G5" s="9">
        <v>0.47299999999999998</v>
      </c>
      <c r="H5" s="9">
        <v>0.52800000000000002</v>
      </c>
      <c r="I5" s="9">
        <v>0.53800000000000003</v>
      </c>
      <c r="J5" s="9">
        <v>0.497</v>
      </c>
      <c r="K5" s="9">
        <v>0.497</v>
      </c>
      <c r="L5" s="9">
        <v>0.47599999999999998</v>
      </c>
      <c r="M5" s="9">
        <v>0.47699999999999998</v>
      </c>
      <c r="N5" s="9">
        <v>0.47899999999999998</v>
      </c>
      <c r="O5" s="9">
        <v>0.45200000000000001</v>
      </c>
      <c r="Q5" s="12">
        <f t="shared" si="0"/>
        <v>0.48889999999999995</v>
      </c>
      <c r="R5" s="13">
        <f t="shared" si="1"/>
        <v>2.525252462626263E-2</v>
      </c>
      <c r="S5" s="12"/>
    </row>
    <row r="6" spans="1:19" ht="16" x14ac:dyDescent="0.2">
      <c r="A6" s="9">
        <v>28</v>
      </c>
      <c r="B6" s="9">
        <v>200</v>
      </c>
      <c r="C6" s="9">
        <v>18</v>
      </c>
      <c r="D6" s="9" t="s">
        <v>25</v>
      </c>
      <c r="E6" s="11">
        <v>0.29623842592592592</v>
      </c>
      <c r="F6" s="9">
        <v>0.621</v>
      </c>
      <c r="G6" s="9">
        <v>0.627</v>
      </c>
      <c r="H6" s="9">
        <v>0.61</v>
      </c>
      <c r="I6" s="9">
        <v>0.621</v>
      </c>
      <c r="J6" s="9">
        <v>0.55900000000000005</v>
      </c>
      <c r="K6" s="9">
        <v>0.58399999999999996</v>
      </c>
      <c r="L6" s="9">
        <v>0.628</v>
      </c>
      <c r="M6" s="9">
        <v>0.63500000000000001</v>
      </c>
      <c r="N6" s="9">
        <v>0.61699999999999999</v>
      </c>
      <c r="O6" s="9">
        <v>0.59699999999999998</v>
      </c>
      <c r="Q6" s="12">
        <f t="shared" si="0"/>
        <v>0.6099</v>
      </c>
      <c r="R6" s="13">
        <f t="shared" si="1"/>
        <v>2.230448385414914E-2</v>
      </c>
      <c r="S6" s="12"/>
    </row>
    <row r="7" spans="1:19" ht="16" x14ac:dyDescent="0.2">
      <c r="A7" s="9"/>
      <c r="B7" s="9"/>
      <c r="C7" s="9"/>
      <c r="Q7" s="9"/>
      <c r="R7" s="1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69C69-96EB-064A-AC1D-9443512F300A}">
  <dimension ref="A1:R7"/>
  <sheetViews>
    <sheetView workbookViewId="0">
      <selection activeCell="O19" sqref="O19"/>
    </sheetView>
  </sheetViews>
  <sheetFormatPr baseColWidth="10" defaultRowHeight="16" x14ac:dyDescent="0.2"/>
  <cols>
    <col min="1" max="3" width="10.83203125" style="1"/>
    <col min="4" max="4" width="9.1640625" style="1" bestFit="1" customWidth="1"/>
    <col min="5" max="5" width="8" style="1" bestFit="1" customWidth="1"/>
    <col min="6" max="9" width="7" style="1" bestFit="1" customWidth="1"/>
    <col min="10" max="10" width="6" style="1" bestFit="1" customWidth="1"/>
    <col min="11" max="14" width="7" style="1" bestFit="1" customWidth="1"/>
    <col min="15" max="15" width="7.1640625" style="1" bestFit="1" customWidth="1"/>
    <col min="16" max="16" width="10.83203125" style="1"/>
    <col min="17" max="18" width="8.83203125" style="7"/>
    <col min="19" max="16384" width="10.83203125" style="1"/>
  </cols>
  <sheetData>
    <row r="1" spans="1:18" x14ac:dyDescent="0.2">
      <c r="A1" s="1" t="s">
        <v>15</v>
      </c>
      <c r="B1" s="1" t="s">
        <v>2</v>
      </c>
      <c r="C1" s="1" t="s">
        <v>16</v>
      </c>
      <c r="D1" s="1" t="s">
        <v>0</v>
      </c>
      <c r="E1" s="1" t="s">
        <v>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Q1" s="3" t="s">
        <v>17</v>
      </c>
      <c r="R1" s="3" t="s">
        <v>18</v>
      </c>
    </row>
    <row r="2" spans="1:18" x14ac:dyDescent="0.2">
      <c r="A2" s="1">
        <v>16</v>
      </c>
      <c r="B2" s="1">
        <v>1000</v>
      </c>
      <c r="C2" s="1">
        <v>0</v>
      </c>
      <c r="D2" s="1" t="s">
        <v>13</v>
      </c>
      <c r="E2" s="2">
        <v>0.54435185185185186</v>
      </c>
      <c r="F2" s="1">
        <v>0.60099999999999998</v>
      </c>
      <c r="G2" s="1">
        <v>0.61</v>
      </c>
      <c r="H2" s="1">
        <v>0.60799999999999998</v>
      </c>
      <c r="I2" s="1">
        <v>0.61</v>
      </c>
      <c r="J2" s="1">
        <v>0.61799999999999999</v>
      </c>
      <c r="K2" s="1">
        <v>0.61</v>
      </c>
      <c r="L2" s="1">
        <v>0.61499999999999999</v>
      </c>
      <c r="M2" s="1">
        <v>0.624</v>
      </c>
      <c r="N2" s="1">
        <v>0.61499999999999999</v>
      </c>
      <c r="O2" s="1">
        <v>0.60499999999999998</v>
      </c>
      <c r="Q2" s="4">
        <f>AVERAGE(F2:O2)</f>
        <v>0.61159999999999992</v>
      </c>
      <c r="R2" s="5">
        <f>_xlfn.STDEV.P(F2:O2)</f>
        <v>6.280127387243037E-3</v>
      </c>
    </row>
    <row r="3" spans="1:18" x14ac:dyDescent="0.2">
      <c r="A3" s="1">
        <v>16</v>
      </c>
      <c r="B3" s="1">
        <v>1000</v>
      </c>
      <c r="C3" s="1">
        <v>2</v>
      </c>
      <c r="D3" s="1" t="s">
        <v>13</v>
      </c>
      <c r="E3" s="2">
        <v>0.62275462962962969</v>
      </c>
      <c r="F3" s="1">
        <v>0.25700000000000001</v>
      </c>
      <c r="G3" s="1">
        <v>0.28000000000000003</v>
      </c>
      <c r="H3" s="1">
        <v>0.27600000000000002</v>
      </c>
      <c r="I3" s="1">
        <v>0.26800000000000002</v>
      </c>
      <c r="J3" s="1">
        <v>0.28599999999999998</v>
      </c>
      <c r="K3" s="1">
        <v>0.25</v>
      </c>
      <c r="L3" s="1">
        <v>0.25</v>
      </c>
      <c r="M3" s="1">
        <v>0.27300000000000002</v>
      </c>
      <c r="N3" s="1">
        <v>0.27</v>
      </c>
      <c r="O3" s="1">
        <v>0.28199999999999997</v>
      </c>
      <c r="Q3" s="4">
        <f t="shared" ref="Q3:Q6" si="0">AVERAGE(F3:O3)</f>
        <v>0.26919999999999999</v>
      </c>
      <c r="R3" s="5">
        <f t="shared" ref="R3:R6" si="1">_xlfn.STDEV.P(F3:O3)</f>
        <v>1.2294714311442943E-2</v>
      </c>
    </row>
    <row r="4" spans="1:18" x14ac:dyDescent="0.2">
      <c r="A4" s="1">
        <v>16</v>
      </c>
      <c r="B4" s="1">
        <v>1000</v>
      </c>
      <c r="C4" s="1">
        <v>4</v>
      </c>
      <c r="D4" s="1" t="s">
        <v>13</v>
      </c>
      <c r="E4" s="2">
        <v>0.70568287037037036</v>
      </c>
      <c r="F4" s="1">
        <v>0.21099999999999999</v>
      </c>
      <c r="G4" s="1">
        <v>0.21099999999999999</v>
      </c>
      <c r="H4" s="1">
        <v>0.19900000000000001</v>
      </c>
      <c r="I4" s="1">
        <v>0.20499999999999999</v>
      </c>
      <c r="J4" s="1">
        <v>0.189</v>
      </c>
      <c r="K4" s="1">
        <v>0.184</v>
      </c>
      <c r="L4" s="1">
        <v>0.24299999999999999</v>
      </c>
      <c r="M4" s="1">
        <v>0.20599999999999999</v>
      </c>
      <c r="N4" s="1">
        <v>0.20100000000000001</v>
      </c>
      <c r="O4" s="1">
        <v>0.19</v>
      </c>
      <c r="Q4" s="4">
        <f t="shared" si="0"/>
        <v>0.20389999999999997</v>
      </c>
      <c r="R4" s="5">
        <f t="shared" si="1"/>
        <v>1.5744522857171633E-2</v>
      </c>
    </row>
    <row r="5" spans="1:18" x14ac:dyDescent="0.2">
      <c r="A5" s="1">
        <v>16</v>
      </c>
      <c r="B5" s="1">
        <v>1000</v>
      </c>
      <c r="C5" s="1">
        <v>6</v>
      </c>
      <c r="D5" s="1" t="s">
        <v>13</v>
      </c>
      <c r="E5" s="2">
        <v>0.79056712962962961</v>
      </c>
      <c r="F5" s="1">
        <v>0.16800000000000001</v>
      </c>
      <c r="G5" s="1">
        <v>0.156</v>
      </c>
      <c r="H5" s="1">
        <v>0.19900000000000001</v>
      </c>
      <c r="I5" s="1">
        <v>0.188</v>
      </c>
      <c r="J5" s="1">
        <v>0.191</v>
      </c>
      <c r="K5" s="1">
        <v>0.185</v>
      </c>
      <c r="L5" s="1">
        <v>0.186</v>
      </c>
      <c r="M5" s="1">
        <v>0.20399999999999999</v>
      </c>
      <c r="N5" s="1">
        <v>0.16700000000000001</v>
      </c>
      <c r="O5" s="1">
        <v>0.20699999999999999</v>
      </c>
      <c r="Q5" s="4">
        <f t="shared" si="0"/>
        <v>0.18510000000000001</v>
      </c>
      <c r="R5" s="5">
        <f t="shared" si="1"/>
        <v>1.5940200751558931E-2</v>
      </c>
    </row>
    <row r="6" spans="1:18" x14ac:dyDescent="0.2">
      <c r="A6" s="1">
        <v>16</v>
      </c>
      <c r="B6" s="1">
        <v>1000</v>
      </c>
      <c r="C6" s="1">
        <v>18</v>
      </c>
      <c r="D6" s="1" t="s">
        <v>14</v>
      </c>
      <c r="E6" s="2">
        <v>0.29236111111111113</v>
      </c>
      <c r="F6" s="1">
        <v>0.63800000000000001</v>
      </c>
      <c r="G6" s="1">
        <v>0.626</v>
      </c>
      <c r="H6" s="1">
        <v>0.60899999999999999</v>
      </c>
      <c r="I6" s="1">
        <v>0.626</v>
      </c>
      <c r="J6" s="1">
        <v>0.62</v>
      </c>
      <c r="K6" s="1">
        <v>0.627</v>
      </c>
      <c r="L6" s="1">
        <v>0.629</v>
      </c>
      <c r="M6" s="1">
        <v>0.60899999999999999</v>
      </c>
      <c r="N6" s="1">
        <v>0.627</v>
      </c>
      <c r="O6" s="1">
        <v>0.63300000000000001</v>
      </c>
      <c r="Q6" s="4">
        <f t="shared" si="0"/>
        <v>0.62439999999999996</v>
      </c>
      <c r="R6" s="5">
        <f t="shared" si="1"/>
        <v>8.9016852337071625E-3</v>
      </c>
    </row>
    <row r="7" spans="1:18" x14ac:dyDescent="0.2">
      <c r="Q7" s="6"/>
      <c r="R7" s="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85DAA-51D3-324D-AFC1-39CF49880ABB}">
  <dimension ref="A1:X7"/>
  <sheetViews>
    <sheetView workbookViewId="0">
      <selection activeCell="L24" sqref="L24"/>
    </sheetView>
  </sheetViews>
  <sheetFormatPr baseColWidth="10" defaultColWidth="8.83203125" defaultRowHeight="15" x14ac:dyDescent="0.2"/>
  <cols>
    <col min="1" max="16384" width="8.83203125" style="10"/>
  </cols>
  <sheetData>
    <row r="1" spans="1:24" ht="16" x14ac:dyDescent="0.2">
      <c r="A1" s="8" t="s">
        <v>19</v>
      </c>
      <c r="B1" s="8" t="s">
        <v>20</v>
      </c>
      <c r="C1" s="8" t="s">
        <v>21</v>
      </c>
      <c r="D1" s="9" t="s">
        <v>0</v>
      </c>
      <c r="E1" s="9" t="s">
        <v>1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9" t="s">
        <v>12</v>
      </c>
      <c r="P1" s="9"/>
      <c r="Q1" s="8" t="s">
        <v>17</v>
      </c>
      <c r="R1" s="8" t="s">
        <v>18</v>
      </c>
      <c r="S1" s="9"/>
      <c r="T1" s="9"/>
      <c r="U1" s="9"/>
      <c r="V1" s="9"/>
      <c r="W1" s="9"/>
      <c r="X1" s="9"/>
    </row>
    <row r="2" spans="1:24" ht="16" x14ac:dyDescent="0.2">
      <c r="A2" s="9">
        <v>16</v>
      </c>
      <c r="B2" s="9">
        <v>200</v>
      </c>
      <c r="C2" s="9">
        <v>0</v>
      </c>
      <c r="D2" s="9" t="s">
        <v>22</v>
      </c>
      <c r="E2" s="11">
        <v>0.54504629629629631</v>
      </c>
      <c r="F2" s="9">
        <v>0.63900000000000001</v>
      </c>
      <c r="G2" s="9">
        <v>0.624</v>
      </c>
      <c r="H2" s="9">
        <v>0.58599999999999997</v>
      </c>
      <c r="I2" s="9">
        <v>0.6</v>
      </c>
      <c r="J2" s="9">
        <v>0.61899999999999999</v>
      </c>
      <c r="K2" s="9">
        <v>0.60499999999999998</v>
      </c>
      <c r="L2" s="9">
        <v>0.63</v>
      </c>
      <c r="M2" s="9">
        <v>0.60899999999999999</v>
      </c>
      <c r="N2" s="9">
        <v>0.61599999999999999</v>
      </c>
      <c r="O2" s="9">
        <v>0.60899999999999999</v>
      </c>
      <c r="P2" s="9"/>
      <c r="Q2" s="12">
        <f>AVERAGE(F2:O2)</f>
        <v>0.61369999999999991</v>
      </c>
      <c r="R2" s="13">
        <f>_xlfn.STDEV.P(F2:O2)</f>
        <v>1.4560563175921472E-2</v>
      </c>
      <c r="S2" s="9"/>
      <c r="T2" s="9"/>
      <c r="U2" s="9"/>
      <c r="V2" s="9"/>
      <c r="W2" s="9"/>
      <c r="X2" s="9"/>
    </row>
    <row r="3" spans="1:24" ht="16" x14ac:dyDescent="0.2">
      <c r="A3" s="9">
        <v>16</v>
      </c>
      <c r="B3" s="9">
        <v>200</v>
      </c>
      <c r="C3" s="9">
        <v>2</v>
      </c>
      <c r="D3" s="9" t="s">
        <v>22</v>
      </c>
      <c r="E3" s="11">
        <v>0.62206018518518513</v>
      </c>
      <c r="F3" s="9">
        <v>0.54600000000000004</v>
      </c>
      <c r="G3" s="9">
        <v>0.55000000000000004</v>
      </c>
      <c r="H3" s="9">
        <v>0.56899999999999995</v>
      </c>
      <c r="I3" s="9">
        <v>0.53800000000000003</v>
      </c>
      <c r="J3" s="9">
        <v>0.53200000000000003</v>
      </c>
      <c r="K3" s="9">
        <v>0.53800000000000003</v>
      </c>
      <c r="L3" s="9">
        <v>0.53300000000000003</v>
      </c>
      <c r="M3" s="9">
        <v>0.52500000000000002</v>
      </c>
      <c r="N3" s="9">
        <v>0.55500000000000005</v>
      </c>
      <c r="O3" s="9">
        <v>0.55100000000000005</v>
      </c>
      <c r="P3" s="9"/>
      <c r="Q3" s="12">
        <f t="shared" ref="Q3:Q6" si="0">AVERAGE(F3:O3)</f>
        <v>0.54370000000000007</v>
      </c>
      <c r="R3" s="13">
        <f t="shared" ref="R3:R6" si="1">_xlfn.STDEV.P(F3:O3)</f>
        <v>1.2377802712921212E-2</v>
      </c>
      <c r="S3" s="9"/>
      <c r="T3" s="9"/>
      <c r="U3" s="9"/>
      <c r="V3" s="9"/>
      <c r="W3" s="9"/>
      <c r="X3" s="9"/>
    </row>
    <row r="4" spans="1:24" ht="16" x14ac:dyDescent="0.2">
      <c r="A4" s="9">
        <v>16</v>
      </c>
      <c r="B4" s="9">
        <v>200</v>
      </c>
      <c r="C4" s="9">
        <v>4</v>
      </c>
      <c r="D4" s="9" t="s">
        <v>22</v>
      </c>
      <c r="E4" s="11">
        <v>0.70584490740740735</v>
      </c>
      <c r="F4" s="9">
        <v>0.52800000000000002</v>
      </c>
      <c r="G4" s="9">
        <v>0.54500000000000004</v>
      </c>
      <c r="H4" s="9">
        <v>0.55500000000000005</v>
      </c>
      <c r="I4" s="9">
        <v>0.54200000000000004</v>
      </c>
      <c r="J4" s="9">
        <v>0.54400000000000004</v>
      </c>
      <c r="K4" s="9">
        <v>0.54200000000000004</v>
      </c>
      <c r="L4" s="9">
        <v>0.54600000000000004</v>
      </c>
      <c r="M4" s="9">
        <v>0.52700000000000002</v>
      </c>
      <c r="N4" s="9">
        <v>0.53600000000000003</v>
      </c>
      <c r="O4" s="9">
        <v>0.54500000000000004</v>
      </c>
      <c r="P4" s="9"/>
      <c r="Q4" s="12">
        <f t="shared" si="0"/>
        <v>0.54100000000000004</v>
      </c>
      <c r="R4" s="13">
        <f t="shared" si="1"/>
        <v>8.0870266476622994E-3</v>
      </c>
      <c r="S4" s="9"/>
      <c r="T4" s="9"/>
      <c r="U4" s="9"/>
      <c r="V4" s="9"/>
      <c r="W4" s="9"/>
      <c r="X4" s="9"/>
    </row>
    <row r="5" spans="1:24" ht="16" x14ac:dyDescent="0.2">
      <c r="A5" s="9">
        <v>16</v>
      </c>
      <c r="B5" s="9">
        <v>200</v>
      </c>
      <c r="C5" s="9">
        <v>6</v>
      </c>
      <c r="D5" s="9" t="s">
        <v>22</v>
      </c>
      <c r="E5" s="11">
        <v>0.79293981481481479</v>
      </c>
      <c r="F5" s="9">
        <v>0.54</v>
      </c>
      <c r="G5" s="9">
        <v>0.53600000000000003</v>
      </c>
      <c r="H5" s="9">
        <v>0.55000000000000004</v>
      </c>
      <c r="I5" s="9">
        <v>0.55700000000000005</v>
      </c>
      <c r="J5" s="9">
        <v>0.57299999999999995</v>
      </c>
      <c r="K5" s="9">
        <v>0.55000000000000004</v>
      </c>
      <c r="L5" s="9">
        <v>0.53800000000000003</v>
      </c>
      <c r="M5" s="9">
        <v>0.51900000000000002</v>
      </c>
      <c r="N5" s="9">
        <v>0.55400000000000005</v>
      </c>
      <c r="O5" s="9">
        <v>0.53600000000000003</v>
      </c>
      <c r="P5" s="9"/>
      <c r="Q5" s="12">
        <f t="shared" si="0"/>
        <v>0.54530000000000012</v>
      </c>
      <c r="R5" s="13">
        <f t="shared" si="1"/>
        <v>1.4036025078347494E-2</v>
      </c>
      <c r="S5" s="9"/>
      <c r="T5" s="9"/>
      <c r="U5" s="9"/>
      <c r="V5" s="9"/>
      <c r="W5" s="9"/>
      <c r="X5" s="9"/>
    </row>
    <row r="6" spans="1:24" ht="16" x14ac:dyDescent="0.2">
      <c r="A6" s="9">
        <v>16</v>
      </c>
      <c r="B6" s="9">
        <v>200</v>
      </c>
      <c r="C6" s="9">
        <v>18</v>
      </c>
      <c r="D6" s="9" t="s">
        <v>23</v>
      </c>
      <c r="E6" s="11">
        <v>0.29577546296296298</v>
      </c>
      <c r="F6" s="9">
        <v>0.63800000000000001</v>
      </c>
      <c r="G6" s="9">
        <v>0.63600000000000001</v>
      </c>
      <c r="H6" s="9">
        <v>0.63500000000000001</v>
      </c>
      <c r="I6" s="9">
        <v>0.63500000000000001</v>
      </c>
      <c r="J6" s="9">
        <v>0.622</v>
      </c>
      <c r="K6" s="9">
        <v>0.60699999999999998</v>
      </c>
      <c r="L6" s="9">
        <v>0.64900000000000002</v>
      </c>
      <c r="M6" s="9">
        <v>0.65300000000000002</v>
      </c>
      <c r="N6" s="9">
        <v>0.65</v>
      </c>
      <c r="O6" s="9">
        <v>0.64400000000000002</v>
      </c>
      <c r="P6" s="9"/>
      <c r="Q6" s="12">
        <f t="shared" si="0"/>
        <v>0.63690000000000002</v>
      </c>
      <c r="R6" s="13">
        <f t="shared" si="1"/>
        <v>1.3239712987825692E-2</v>
      </c>
      <c r="S6" s="9"/>
      <c r="T6" s="9"/>
      <c r="U6" s="9"/>
      <c r="V6" s="9"/>
      <c r="W6" s="9"/>
      <c r="X6" s="9"/>
    </row>
    <row r="7" spans="1:24" ht="16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3"/>
      <c r="S7" s="9"/>
      <c r="T7" s="9"/>
      <c r="U7" s="9"/>
      <c r="V7" s="9"/>
      <c r="W7" s="9"/>
      <c r="X7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FDB09-D95E-D64D-8EC3-B685D99D19F7}">
  <dimension ref="A1:R7"/>
  <sheetViews>
    <sheetView workbookViewId="0">
      <selection activeCell="E10" sqref="E10"/>
    </sheetView>
  </sheetViews>
  <sheetFormatPr baseColWidth="10" defaultColWidth="8.83203125" defaultRowHeight="16" x14ac:dyDescent="0.2"/>
  <cols>
    <col min="1" max="3" width="8.83203125" style="8"/>
    <col min="4" max="4" width="10" style="9" bestFit="1" customWidth="1"/>
    <col min="5" max="15" width="9" style="9" bestFit="1" customWidth="1"/>
    <col min="16" max="16" width="8.83203125" style="9"/>
    <col min="17" max="18" width="8.83203125" style="10"/>
    <col min="19" max="19" width="9" style="9" bestFit="1" customWidth="1"/>
    <col min="20" max="16384" width="8.83203125" style="9"/>
  </cols>
  <sheetData>
    <row r="1" spans="1:18" x14ac:dyDescent="0.2">
      <c r="A1" s="8" t="s">
        <v>15</v>
      </c>
      <c r="B1" s="8" t="s">
        <v>2</v>
      </c>
      <c r="C1" s="8" t="s">
        <v>16</v>
      </c>
      <c r="D1" s="9" t="s">
        <v>0</v>
      </c>
      <c r="E1" s="9" t="s">
        <v>1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9" t="s">
        <v>12</v>
      </c>
      <c r="Q1" s="9" t="s">
        <v>29</v>
      </c>
      <c r="R1" s="8" t="s">
        <v>30</v>
      </c>
    </row>
    <row r="2" spans="1:18" x14ac:dyDescent="0.2">
      <c r="A2" s="8">
        <v>4</v>
      </c>
      <c r="B2" s="8">
        <v>1000</v>
      </c>
      <c r="C2" s="8">
        <v>0</v>
      </c>
      <c r="D2" s="9" t="s">
        <v>31</v>
      </c>
      <c r="E2" s="11">
        <v>0.58696759259259257</v>
      </c>
      <c r="F2" s="9">
        <v>0.52700000000000002</v>
      </c>
      <c r="G2" s="9">
        <v>0.54600000000000004</v>
      </c>
      <c r="H2" s="9">
        <v>0.57199999999999995</v>
      </c>
      <c r="I2" s="9">
        <v>0.56499999999999995</v>
      </c>
      <c r="J2" s="9">
        <v>0.58399999999999996</v>
      </c>
      <c r="K2" s="9">
        <v>0.58099999999999996</v>
      </c>
      <c r="L2" s="9">
        <v>0.63600000000000001</v>
      </c>
      <c r="M2" s="9">
        <v>0.61</v>
      </c>
      <c r="N2" s="9">
        <v>0.57499999999999996</v>
      </c>
      <c r="O2" s="9">
        <v>0.56299999999999994</v>
      </c>
      <c r="Q2" s="12">
        <f>AVERAGE(F2:O2)</f>
        <v>0.57590000000000008</v>
      </c>
      <c r="R2" s="13">
        <f>_xlfn.STDEV.P(F2:O2)</f>
        <v>2.9073871431235292E-2</v>
      </c>
    </row>
    <row r="3" spans="1:18" x14ac:dyDescent="0.2">
      <c r="A3" s="8">
        <v>4</v>
      </c>
      <c r="B3" s="8">
        <v>1000</v>
      </c>
      <c r="C3" s="8">
        <v>2</v>
      </c>
      <c r="D3" s="21">
        <v>38130</v>
      </c>
      <c r="E3" s="22">
        <v>0.67021990740740744</v>
      </c>
      <c r="F3" s="9">
        <v>4.3999999999999997E-2</v>
      </c>
      <c r="G3" s="9">
        <v>0</v>
      </c>
      <c r="H3" s="9">
        <v>0</v>
      </c>
      <c r="I3" s="9">
        <v>7.3999999999999996E-2</v>
      </c>
      <c r="J3" s="9">
        <v>6.8000000000000005E-2</v>
      </c>
      <c r="K3" s="9">
        <v>5.5E-2</v>
      </c>
      <c r="L3" s="9">
        <v>5.8999999999999997E-2</v>
      </c>
      <c r="M3" s="9">
        <v>5.2999999999999999E-2</v>
      </c>
      <c r="N3" s="9">
        <v>4.2999999999999997E-2</v>
      </c>
      <c r="O3" s="9">
        <v>0.05</v>
      </c>
      <c r="P3" s="9" t="s">
        <v>32</v>
      </c>
      <c r="Q3" s="12">
        <f t="shared" ref="Q3:Q6" si="0">AVERAGE(F3:O3)</f>
        <v>4.4599999999999994E-2</v>
      </c>
      <c r="R3" s="13">
        <f t="shared" ref="R3:R6" si="1">_xlfn.STDEV.P(F3:O3)</f>
        <v>2.4100622398602074E-2</v>
      </c>
    </row>
    <row r="4" spans="1:18" x14ac:dyDescent="0.2">
      <c r="A4" s="8">
        <v>4</v>
      </c>
      <c r="B4" s="8">
        <v>1000</v>
      </c>
      <c r="C4" s="8">
        <v>4</v>
      </c>
      <c r="D4" s="21">
        <v>38130</v>
      </c>
      <c r="E4" s="22">
        <v>0.75248842592592591</v>
      </c>
      <c r="F4" s="9">
        <v>0</v>
      </c>
      <c r="G4" s="9">
        <v>0</v>
      </c>
      <c r="H4" s="9">
        <v>0</v>
      </c>
      <c r="I4" s="9">
        <v>3.5000000000000003E-2</v>
      </c>
      <c r="J4" s="9">
        <v>3.5999999999999997E-2</v>
      </c>
      <c r="K4" s="9">
        <v>4.1000000000000002E-2</v>
      </c>
      <c r="L4" s="9">
        <v>0</v>
      </c>
      <c r="M4" s="9">
        <v>0</v>
      </c>
      <c r="N4" s="9">
        <v>0</v>
      </c>
      <c r="O4" s="9">
        <v>0</v>
      </c>
      <c r="P4" s="9" t="s">
        <v>32</v>
      </c>
      <c r="Q4" s="12">
        <f t="shared" si="0"/>
        <v>1.1200000000000002E-2</v>
      </c>
      <c r="R4" s="13">
        <f t="shared" si="1"/>
        <v>1.7168575945604808E-2</v>
      </c>
    </row>
    <row r="5" spans="1:18" x14ac:dyDescent="0.2">
      <c r="A5" s="8">
        <v>4</v>
      </c>
      <c r="B5" s="8">
        <v>1000</v>
      </c>
      <c r="C5" s="8">
        <v>6</v>
      </c>
      <c r="D5" s="21">
        <v>38130</v>
      </c>
      <c r="E5" s="22">
        <v>0.83548611111111115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 t="s">
        <v>32</v>
      </c>
      <c r="Q5" s="12">
        <f t="shared" si="0"/>
        <v>0</v>
      </c>
      <c r="R5" s="13">
        <f t="shared" si="1"/>
        <v>0</v>
      </c>
    </row>
    <row r="6" spans="1:18" x14ac:dyDescent="0.2">
      <c r="A6" s="8">
        <v>4</v>
      </c>
      <c r="B6" s="8">
        <v>1000</v>
      </c>
      <c r="C6" s="8">
        <v>18</v>
      </c>
      <c r="D6" s="21">
        <v>38495</v>
      </c>
      <c r="E6" s="22">
        <v>0.34130787037037036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 t="s">
        <v>32</v>
      </c>
      <c r="Q6" s="12">
        <f t="shared" si="0"/>
        <v>0</v>
      </c>
      <c r="R6" s="13">
        <f t="shared" si="1"/>
        <v>0</v>
      </c>
    </row>
    <row r="7" spans="1:18" x14ac:dyDescent="0.2">
      <c r="R7" s="1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1C98-EF77-5040-8633-EFCD7B100F81}">
  <dimension ref="A1:R7"/>
  <sheetViews>
    <sheetView tabSelected="1" workbookViewId="0">
      <selection activeCell="L34" sqref="L34"/>
    </sheetView>
  </sheetViews>
  <sheetFormatPr baseColWidth="10" defaultColWidth="10.6640625" defaultRowHeight="16" x14ac:dyDescent="0.2"/>
  <cols>
    <col min="1" max="16" width="10.6640625" style="14"/>
    <col min="17" max="18" width="10.83203125" style="20" customWidth="1"/>
    <col min="19" max="16384" width="10.6640625" style="14"/>
  </cols>
  <sheetData>
    <row r="1" spans="1:18" x14ac:dyDescent="0.2">
      <c r="A1" s="14" t="s">
        <v>15</v>
      </c>
      <c r="B1" s="14" t="s">
        <v>2</v>
      </c>
      <c r="C1" s="14" t="s">
        <v>16</v>
      </c>
      <c r="D1" s="14" t="s">
        <v>0</v>
      </c>
      <c r="E1" s="14" t="s">
        <v>1</v>
      </c>
      <c r="F1" s="14" t="s">
        <v>3</v>
      </c>
      <c r="G1" s="14" t="s">
        <v>4</v>
      </c>
      <c r="H1" s="14" t="s">
        <v>5</v>
      </c>
      <c r="I1" s="14" t="s">
        <v>6</v>
      </c>
      <c r="J1" s="14" t="s">
        <v>7</v>
      </c>
      <c r="K1" s="14" t="s">
        <v>8</v>
      </c>
      <c r="L1" s="14" t="s">
        <v>9</v>
      </c>
      <c r="M1" s="14" t="s">
        <v>10</v>
      </c>
      <c r="N1" s="14" t="s">
        <v>11</v>
      </c>
      <c r="O1" s="14" t="s">
        <v>12</v>
      </c>
      <c r="Q1" s="14" t="s">
        <v>27</v>
      </c>
      <c r="R1" s="14" t="s">
        <v>28</v>
      </c>
    </row>
    <row r="2" spans="1:18" x14ac:dyDescent="0.2">
      <c r="A2" s="14">
        <v>4</v>
      </c>
      <c r="B2" s="14">
        <v>200</v>
      </c>
      <c r="C2" s="14">
        <v>0</v>
      </c>
      <c r="D2" s="15">
        <v>37399</v>
      </c>
      <c r="E2" s="16">
        <v>0.54814814814814816</v>
      </c>
      <c r="F2" s="14">
        <v>0.64800000000000002</v>
      </c>
      <c r="G2" s="14">
        <v>0.64900000000000002</v>
      </c>
      <c r="H2" s="14">
        <v>0.63200000000000001</v>
      </c>
      <c r="I2" s="14">
        <v>0.626</v>
      </c>
      <c r="J2" s="14">
        <v>0.64700000000000002</v>
      </c>
      <c r="K2" s="14">
        <v>0.64200000000000002</v>
      </c>
      <c r="L2" s="14">
        <v>0.61</v>
      </c>
      <c r="M2" s="14">
        <v>0.60399999999999998</v>
      </c>
      <c r="N2" s="14">
        <v>0.63100000000000001</v>
      </c>
      <c r="O2" s="14">
        <v>0.63500000000000001</v>
      </c>
      <c r="Q2" s="17">
        <f>AVERAGE(F2:O2)</f>
        <v>0.63239999999999996</v>
      </c>
      <c r="R2" s="18">
        <f>_xlfn.STDEV.P(F2:O2)</f>
        <v>1.4772948250095523E-2</v>
      </c>
    </row>
    <row r="3" spans="1:18" x14ac:dyDescent="0.2">
      <c r="A3" s="14">
        <v>4</v>
      </c>
      <c r="B3" s="14">
        <v>200</v>
      </c>
      <c r="C3" s="14">
        <v>2</v>
      </c>
      <c r="D3" s="15">
        <v>37399</v>
      </c>
      <c r="E3" s="16">
        <v>0.62679398148148147</v>
      </c>
      <c r="F3" s="14">
        <v>0.26500000000000001</v>
      </c>
      <c r="G3" s="14">
        <v>0.28199999999999997</v>
      </c>
      <c r="H3" s="14">
        <v>0.28199999999999997</v>
      </c>
      <c r="I3" s="14">
        <v>0.27400000000000002</v>
      </c>
      <c r="J3" s="14">
        <v>0.31</v>
      </c>
      <c r="K3" s="14">
        <v>0.32800000000000001</v>
      </c>
      <c r="L3" s="14">
        <v>0.26600000000000001</v>
      </c>
      <c r="M3" s="14">
        <v>0.27800000000000002</v>
      </c>
      <c r="N3" s="14">
        <v>0.27400000000000002</v>
      </c>
      <c r="O3" s="14">
        <v>0.26300000000000001</v>
      </c>
      <c r="Q3" s="17">
        <f t="shared" ref="Q3:Q6" si="0">AVERAGE(F3:O3)</f>
        <v>0.28220000000000001</v>
      </c>
      <c r="R3" s="18">
        <f t="shared" ref="R3:R6" si="1">_xlfn.STDEV.P(F3:O3)</f>
        <v>1.9873600579663461E-2</v>
      </c>
    </row>
    <row r="4" spans="1:18" x14ac:dyDescent="0.2">
      <c r="A4" s="14">
        <v>4</v>
      </c>
      <c r="B4" s="14">
        <v>200</v>
      </c>
      <c r="C4" s="14">
        <v>4</v>
      </c>
      <c r="D4" s="15">
        <v>37399</v>
      </c>
      <c r="E4" s="16">
        <v>0.70980324074074075</v>
      </c>
      <c r="F4" s="14">
        <v>0.26700000000000002</v>
      </c>
      <c r="G4" s="14">
        <v>0.255</v>
      </c>
      <c r="H4" s="14">
        <v>0.23799999999999999</v>
      </c>
      <c r="I4" s="14">
        <v>0.24</v>
      </c>
      <c r="J4" s="14">
        <v>0.23599999999999999</v>
      </c>
      <c r="K4" s="14">
        <v>0.223</v>
      </c>
      <c r="L4" s="14">
        <v>0.2</v>
      </c>
      <c r="M4" s="14">
        <v>0.20399999999999999</v>
      </c>
      <c r="N4" s="14">
        <v>0.20699999999999999</v>
      </c>
      <c r="O4" s="14">
        <v>0.20799999999999999</v>
      </c>
      <c r="Q4" s="17">
        <f t="shared" si="0"/>
        <v>0.2278</v>
      </c>
      <c r="R4" s="18">
        <f t="shared" si="1"/>
        <v>2.1871442567878329E-2</v>
      </c>
    </row>
    <row r="5" spans="1:18" x14ac:dyDescent="0.2">
      <c r="A5" s="14">
        <v>4</v>
      </c>
      <c r="B5" s="14">
        <v>200</v>
      </c>
      <c r="C5" s="14">
        <v>6</v>
      </c>
      <c r="D5" s="15">
        <v>37399</v>
      </c>
      <c r="E5" s="16">
        <v>0.79827546296296292</v>
      </c>
      <c r="F5" s="14">
        <v>0.245</v>
      </c>
      <c r="G5" s="14">
        <v>0.248</v>
      </c>
      <c r="H5" s="14">
        <v>0.219</v>
      </c>
      <c r="I5" s="14">
        <v>0.24099999999999999</v>
      </c>
      <c r="J5" s="14">
        <v>0.20100000000000001</v>
      </c>
      <c r="K5" s="14">
        <v>0.21099999999999999</v>
      </c>
      <c r="L5" s="14">
        <v>0.20599999999999999</v>
      </c>
      <c r="M5" s="14">
        <v>0.20599999999999999</v>
      </c>
      <c r="N5" s="14">
        <v>0.19900000000000001</v>
      </c>
      <c r="O5" s="14">
        <v>0.19600000000000001</v>
      </c>
      <c r="Q5" s="17">
        <f t="shared" si="0"/>
        <v>0.2172</v>
      </c>
      <c r="R5" s="18">
        <f t="shared" si="1"/>
        <v>1.9035755829490984E-2</v>
      </c>
    </row>
    <row r="6" spans="1:18" x14ac:dyDescent="0.2">
      <c r="A6" s="14">
        <v>4</v>
      </c>
      <c r="B6" s="14">
        <v>200</v>
      </c>
      <c r="C6" s="14">
        <v>18</v>
      </c>
      <c r="D6" s="15">
        <v>37764</v>
      </c>
      <c r="E6" s="16">
        <v>0.30083333333333334</v>
      </c>
      <c r="F6" s="14">
        <v>0.47299999999999998</v>
      </c>
      <c r="G6" s="14">
        <v>0.49199999999999999</v>
      </c>
      <c r="H6" s="14">
        <v>0.496</v>
      </c>
      <c r="I6" s="14">
        <v>0.47699999999999998</v>
      </c>
      <c r="J6" s="14">
        <v>0.502</v>
      </c>
      <c r="K6" s="14">
        <v>0.52600000000000002</v>
      </c>
      <c r="L6" s="14">
        <v>0.48899999999999999</v>
      </c>
      <c r="M6" s="14">
        <v>0.47599999999999998</v>
      </c>
      <c r="N6" s="14">
        <v>0.48</v>
      </c>
      <c r="O6" s="14">
        <v>0.48499999999999999</v>
      </c>
      <c r="Q6" s="17">
        <f t="shared" si="0"/>
        <v>0.48959999999999998</v>
      </c>
      <c r="R6" s="18">
        <f t="shared" si="1"/>
        <v>1.5027973915335375E-2</v>
      </c>
    </row>
    <row r="7" spans="1:18" x14ac:dyDescent="0.2">
      <c r="Q7" s="19"/>
      <c r="R7" s="1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28˚C_1000umol-2</vt:lpstr>
      <vt:lpstr>28˚C_200umol-2</vt:lpstr>
      <vt:lpstr>16˚C_1000µmol_#2_analysis</vt:lpstr>
      <vt:lpstr>16˚C_200umol-2</vt:lpstr>
      <vt:lpstr>4c1000umol</vt:lpstr>
      <vt:lpstr>4˚C_200µmol</vt:lpstr>
      <vt:lpstr>'16˚C_1000µmol_#2_analysis'!yabure_20230621_16c_1000umol_0h_2</vt:lpstr>
      <vt:lpstr>'16˚C_1000µmol_#2_analysis'!yabure_20230621_16c_1000umol_18h_2</vt:lpstr>
      <vt:lpstr>'16˚C_1000µmol_#2_analysis'!yabure_20230621_16c_1000umol_2h_2</vt:lpstr>
      <vt:lpstr>'16˚C_1000µmol_#2_analysis'!yabure_20230621_16c_1000umol_4h_2</vt:lpstr>
      <vt:lpstr>'16˚C_1000µmol_#2_analysis'!yabure_20230621_16c_1000umol_6h_2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Ryuta Terada</dc:creator>
  <cp:lastModifiedBy>寺田　竜太</cp:lastModifiedBy>
  <dcterms:created xsi:type="dcterms:W3CDTF">2023-06-23T01:26:07Z</dcterms:created>
  <dcterms:modified xsi:type="dcterms:W3CDTF">2026-01-14T01:14:42Z</dcterms:modified>
</cp:coreProperties>
</file>