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56.xml" ContentType="application/vnd.openxmlformats-officedocument.spreadsheetml.queryTable+xml"/>
  <Override PartName="/xl/queryTables/queryTable57.xml" ContentType="application/vnd.openxmlformats-officedocument.spreadsheetml.queryTable+xml"/>
  <Override PartName="/xl/queryTables/queryTable58.xml" ContentType="application/vnd.openxmlformats-officedocument.spreadsheetml.queryTable+xml"/>
  <Override PartName="/xl/queryTables/queryTable59.xml" ContentType="application/vnd.openxmlformats-officedocument.spreadsheetml.queryTable+xml"/>
  <Override PartName="/xl/queryTables/queryTable60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68.xml" ContentType="application/vnd.openxmlformats-officedocument.spreadsheetml.queryTable+xml"/>
  <Override PartName="/xl/queryTables/queryTable69.xml" ContentType="application/vnd.openxmlformats-officedocument.spreadsheetml.queryTable+xml"/>
  <Override PartName="/xl/queryTables/queryTable70.xml" ContentType="application/vnd.openxmlformats-officedocument.spreadsheetml.queryTable+xml"/>
  <Override PartName="/xl/queryTables/queryTable7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7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75.xml" ContentType="application/vnd.openxmlformats-officedocument.spreadsheetml.queryTable+xml"/>
  <Override PartName="/xl/queryTables/queryTable76.xml" ContentType="application/vnd.openxmlformats-officedocument.spreadsheetml.queryTable+xml"/>
  <Override PartName="/xl/queryTables/queryTable77.xml" ContentType="application/vnd.openxmlformats-officedocument.spreadsheetml.queryTable+xml"/>
  <Override PartName="/xl/queryTables/queryTable78.xml" ContentType="application/vnd.openxmlformats-officedocument.spreadsheetml.queryTable+xml"/>
  <Override PartName="/xl/queryTables/queryTable79.xml" ContentType="application/vnd.openxmlformats-officedocument.spreadsheetml.queryTable+xml"/>
  <Override PartName="/xl/queryTables/queryTable80.xml" ContentType="application/vnd.openxmlformats-officedocument.spreadsheetml.queryTable+xml"/>
  <Override PartName="/xl/queryTables/queryTable81.xml" ContentType="application/vnd.openxmlformats-officedocument.spreadsheetml.queryTable+xml"/>
  <Override PartName="/xl/queryTables/queryTable82.xml" ContentType="application/vnd.openxmlformats-officedocument.spreadsheetml.queryTable+xml"/>
  <Override PartName="/xl/queryTables/queryTable83.xml" ContentType="application/vnd.openxmlformats-officedocument.spreadsheetml.queryTable+xml"/>
  <Override PartName="/xl/queryTables/queryTable84.xml" ContentType="application/vnd.openxmlformats-officedocument.spreadsheetml.queryTable+xml"/>
  <Override PartName="/xl/queryTables/queryTable85.xml" ContentType="application/vnd.openxmlformats-officedocument.spreadsheetml.queryTable+xml"/>
  <Override PartName="/xl/queryTables/queryTable86.xml" ContentType="application/vnd.openxmlformats-officedocument.spreadsheetml.queryTable+xml"/>
  <Override PartName="/xl/queryTables/queryTable87.xml" ContentType="application/vnd.openxmlformats-officedocument.spreadsheetml.queryTable+xml"/>
  <Override PartName="/xl/queryTables/queryTable88.xml" ContentType="application/vnd.openxmlformats-officedocument.spreadsheetml.queryTable+xml"/>
  <Override PartName="/xl/queryTables/queryTable89.xml" ContentType="application/vnd.openxmlformats-officedocument.spreadsheetml.queryTable+xml"/>
  <Override PartName="/xl/queryTables/queryTable90.xml" ContentType="application/vnd.openxmlformats-officedocument.spreadsheetml.queryTable+xml"/>
  <Override PartName="/xl/queryTables/queryTable91.xml" ContentType="application/vnd.openxmlformats-officedocument.spreadsheetml.queryTable+xml"/>
  <Override PartName="/xl/queryTables/queryTable92.xml" ContentType="application/vnd.openxmlformats-officedocument.spreadsheetml.queryTable+xml"/>
  <Override PartName="/xl/queryTables/queryTable93.xml" ContentType="application/vnd.openxmlformats-officedocument.spreadsheetml.queryTable+xml"/>
  <Override PartName="/xl/queryTables/queryTable94.xml" ContentType="application/vnd.openxmlformats-officedocument.spreadsheetml.queryTable+xml"/>
  <Override PartName="/xl/queryTables/queryTable95.xml" ContentType="application/vnd.openxmlformats-officedocument.spreadsheetml.queryTable+xml"/>
  <Override PartName="/xl/queryTables/queryTable96.xml" ContentType="application/vnd.openxmlformats-officedocument.spreadsheetml.queryTable+xml"/>
  <Override PartName="/xl/queryTables/queryTable97.xml" ContentType="application/vnd.openxmlformats-officedocument.spreadsheetml.queryTable+xml"/>
  <Override PartName="/xl/queryTables/queryTable98.xml" ContentType="application/vnd.openxmlformats-officedocument.spreadsheetml.queryTable+xml"/>
  <Override PartName="/xl/queryTables/queryTable99.xml" ContentType="application/vnd.openxmlformats-officedocument.spreadsheetml.queryTable+xml"/>
  <Override PartName="/xl/queryTables/queryTable100.xml" ContentType="application/vnd.openxmlformats-officedocument.spreadsheetml.queryTable+xml"/>
  <Override PartName="/xl/queryTables/queryTable101.xml" ContentType="application/vnd.openxmlformats-officedocument.spreadsheetml.queryTable+xml"/>
  <Override PartName="/xl/queryTables/queryTable102.xml" ContentType="application/vnd.openxmlformats-officedocument.spreadsheetml.queryTable+xml"/>
  <Override PartName="/xl/queryTables/queryTable103.xml" ContentType="application/vnd.openxmlformats-officedocument.spreadsheetml.queryTable+xml"/>
  <Override PartName="/xl/queryTables/queryTable104.xml" ContentType="application/vnd.openxmlformats-officedocument.spreadsheetml.queryTable+xml"/>
  <Override PartName="/xl/queryTables/queryTable105.xml" ContentType="application/vnd.openxmlformats-officedocument.spreadsheetml.queryTable+xml"/>
  <Override PartName="/xl/queryTables/queryTable106.xml" ContentType="application/vnd.openxmlformats-officedocument.spreadsheetml.queryTable+xml"/>
  <Override PartName="/xl/queryTables/queryTable107.xml" ContentType="application/vnd.openxmlformats-officedocument.spreadsheetml.queryTable+xml"/>
  <Override PartName="/xl/queryTables/queryTable108.xml" ContentType="application/vnd.openxmlformats-officedocument.spreadsheetml.queryTable+xml"/>
  <Override PartName="/xl/queryTables/queryTable109.xml" ContentType="application/vnd.openxmlformats-officedocument.spreadsheetml.queryTable+xml"/>
  <Override PartName="/xl/queryTables/queryTable110.xml" ContentType="application/vnd.openxmlformats-officedocument.spreadsheetml.queryTable+xml"/>
  <Override PartName="/xl/queryTables/queryTable111.xml" ContentType="application/vnd.openxmlformats-officedocument.spreadsheetml.queryTable+xml"/>
  <Override PartName="/xl/queryTables/queryTable112.xml" ContentType="application/vnd.openxmlformats-officedocument.spreadsheetml.queryTable+xml"/>
  <Override PartName="/xl/queryTables/queryTable113.xml" ContentType="application/vnd.openxmlformats-officedocument.spreadsheetml.queryTable+xml"/>
  <Override PartName="/xl/queryTables/queryTable114.xml" ContentType="application/vnd.openxmlformats-officedocument.spreadsheetml.queryTable+xml"/>
  <Override PartName="/xl/queryTables/queryTable115.xml" ContentType="application/vnd.openxmlformats-officedocument.spreadsheetml.queryTable+xml"/>
  <Override PartName="/xl/queryTables/queryTable116.xml" ContentType="application/vnd.openxmlformats-officedocument.spreadsheetml.queryTable+xml"/>
  <Override PartName="/xl/queryTables/queryTable117.xml" ContentType="application/vnd.openxmlformats-officedocument.spreadsheetml.queryTable+xml"/>
  <Override PartName="/xl/queryTables/queryTable118.xml" ContentType="application/vnd.openxmlformats-officedocument.spreadsheetml.queryTable+xml"/>
  <Override PartName="/xl/queryTables/queryTable119.xml" ContentType="application/vnd.openxmlformats-officedocument.spreadsheetml.queryTable+xml"/>
  <Override PartName="/xl/queryTables/queryTable120.xml" ContentType="application/vnd.openxmlformats-officedocument.spreadsheetml.queryTable+xml"/>
  <Override PartName="/xl/queryTables/queryTable121.xml" ContentType="application/vnd.openxmlformats-officedocument.spreadsheetml.queryTable+xml"/>
  <Override PartName="/xl/queryTables/queryTable122.xml" ContentType="application/vnd.openxmlformats-officedocument.spreadsheetml.queryTable+xml"/>
  <Override PartName="/xl/queryTables/queryTable123.xml" ContentType="application/vnd.openxmlformats-officedocument.spreadsheetml.queryTable+xml"/>
  <Override PartName="/xl/queryTables/queryTable124.xml" ContentType="application/vnd.openxmlformats-officedocument.spreadsheetml.queryTable+xml"/>
  <Override PartName="/xl/queryTables/queryTable125.xml" ContentType="application/vnd.openxmlformats-officedocument.spreadsheetml.queryTable+xml"/>
  <Override PartName="/xl/queryTables/queryTable126.xml" ContentType="application/vnd.openxmlformats-officedocument.spreadsheetml.queryTable+xml"/>
  <Override PartName="/xl/queryTables/queryTable127.xml" ContentType="application/vnd.openxmlformats-officedocument.spreadsheetml.queryTable+xml"/>
  <Override PartName="/xl/queryTables/queryTable128.xml" ContentType="application/vnd.openxmlformats-officedocument.spreadsheetml.queryTable+xml"/>
  <Override PartName="/xl/queryTables/queryTable129.xml" ContentType="application/vnd.openxmlformats-officedocument.spreadsheetml.queryTable+xml"/>
  <Override PartName="/xl/queryTables/queryTable130.xml" ContentType="application/vnd.openxmlformats-officedocument.spreadsheetml.queryTable+xml"/>
  <Override PartName="/xl/queryTables/queryTable131.xml" ContentType="application/vnd.openxmlformats-officedocument.spreadsheetml.queryTable+xml"/>
  <Override PartName="/xl/queryTables/queryTable132.xml" ContentType="application/vnd.openxmlformats-officedocument.spreadsheetml.queryTable+xml"/>
  <Override PartName="/xl/queryTables/queryTable133.xml" ContentType="application/vnd.openxmlformats-officedocument.spreadsheetml.queryTable+xml"/>
  <Override PartName="/xl/queryTables/queryTable134.xml" ContentType="application/vnd.openxmlformats-officedocument.spreadsheetml.queryTable+xml"/>
  <Override PartName="/xl/queryTables/queryTable135.xml" ContentType="application/vnd.openxmlformats-officedocument.spreadsheetml.queryTable+xml"/>
  <Override PartName="/xl/queryTables/queryTable136.xml" ContentType="application/vnd.openxmlformats-officedocument.spreadsheetml.queryTable+xml"/>
  <Override PartName="/xl/queryTables/queryTable137.xml" ContentType="application/vnd.openxmlformats-officedocument.spreadsheetml.queryTable+xml"/>
  <Override PartName="/xl/queryTables/queryTable138.xml" ContentType="application/vnd.openxmlformats-officedocument.spreadsheetml.queryTable+xml"/>
  <Override PartName="/xl/queryTables/queryTable139.xml" ContentType="application/vnd.openxmlformats-officedocument.spreadsheetml.queryTable+xml"/>
  <Override PartName="/xl/queryTables/queryTable140.xml" ContentType="application/vnd.openxmlformats-officedocument.spreadsheetml.queryTable+xml"/>
  <Override PartName="/xl/queryTables/queryTable141.xml" ContentType="application/vnd.openxmlformats-officedocument.spreadsheetml.queryTable+xml"/>
  <Override PartName="/xl/queryTables/queryTable142.xml" ContentType="application/vnd.openxmlformats-officedocument.spreadsheetml.queryTable+xml"/>
  <Override PartName="/xl/queryTables/queryTable143.xml" ContentType="application/vnd.openxmlformats-officedocument.spreadsheetml.queryTable+xml"/>
  <Override PartName="/xl/queryTables/queryTable144.xml" ContentType="application/vnd.openxmlformats-officedocument.spreadsheetml.queryTable+xml"/>
  <Override PartName="/xl/queryTables/queryTable145.xml" ContentType="application/vnd.openxmlformats-officedocument.spreadsheetml.queryTable+xml"/>
  <Override PartName="/xl/queryTables/queryTable146.xml" ContentType="application/vnd.openxmlformats-officedocument.spreadsheetml.queryTable+xml"/>
  <Override PartName="/xl/queryTables/queryTable147.xml" ContentType="application/vnd.openxmlformats-officedocument.spreadsheetml.queryTable+xml"/>
  <Override PartName="/xl/queryTables/queryTable148.xml" ContentType="application/vnd.openxmlformats-officedocument.spreadsheetml.queryTable+xml"/>
  <Override PartName="/xl/queryTables/queryTable149.xml" ContentType="application/vnd.openxmlformats-officedocument.spreadsheetml.queryTable+xml"/>
  <Override PartName="/xl/queryTables/queryTable150.xml" ContentType="application/vnd.openxmlformats-officedocument.spreadsheetml.queryTable+xml"/>
  <Override PartName="/xl/queryTables/queryTable151.xml" ContentType="application/vnd.openxmlformats-officedocument.spreadsheetml.queryTable+xml"/>
  <Override PartName="/xl/queryTables/queryTable152.xml" ContentType="application/vnd.openxmlformats-officedocument.spreadsheetml.queryTable+xml"/>
  <Override PartName="/xl/queryTables/queryTable153.xml" ContentType="application/vnd.openxmlformats-officedocument.spreadsheetml.queryTable+xml"/>
  <Override PartName="/xl/queryTables/queryTable154.xml" ContentType="application/vnd.openxmlformats-officedocument.spreadsheetml.queryTable+xml"/>
  <Override PartName="/xl/queryTables/queryTable155.xml" ContentType="application/vnd.openxmlformats-officedocument.spreadsheetml.queryTable+xml"/>
  <Override PartName="/xl/queryTables/queryTable156.xml" ContentType="application/vnd.openxmlformats-officedocument.spreadsheetml.queryTable+xml"/>
  <Override PartName="/xl/queryTables/queryTable157.xml" ContentType="application/vnd.openxmlformats-officedocument.spreadsheetml.queryTable+xml"/>
  <Override PartName="/xl/queryTables/queryTable158.xml" ContentType="application/vnd.openxmlformats-officedocument.spreadsheetml.queryTable+xml"/>
  <Override PartName="/xl/queryTables/queryTable159.xml" ContentType="application/vnd.openxmlformats-officedocument.spreadsheetml.queryTable+xml"/>
  <Override PartName="/xl/queryTables/queryTable160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radaryuuta/Desktop/Uva_asustralis_study_2026/3&amp;4_Desiccation_1st_Exp/"/>
    </mc:Choice>
  </mc:AlternateContent>
  <xr:revisionPtr revIDLastSave="0" documentId="13_ncr:1_{F39649AB-D8FC-9543-9541-97044DC867B7}" xr6:coauthVersionLast="47" xr6:coauthVersionMax="47" xr10:uidLastSave="{00000000-0000-0000-0000-000000000000}"/>
  <bookViews>
    <workbookView xWindow="8460" yWindow="600" windowWidth="42740" windowHeight="26580" xr2:uid="{A12AC2F9-831F-2745-AFD4-ADDD4AEE829E}"/>
  </bookViews>
  <sheets>
    <sheet name="Dataset_analysis" sheetId="1" r:id="rId1"/>
  </sheets>
  <definedNames>
    <definedName name="_20220820_0m_1" localSheetId="0">Dataset_analysis!$E$1:$P$2</definedName>
    <definedName name="_20220820_30m_5_9_9" localSheetId="0">Dataset_analysis!#REF!</definedName>
    <definedName name="_2305_0m_1_d" localSheetId="0">Dataset_analysis!$E$43:$P$43</definedName>
    <definedName name="_2305_0m_1_d_w30m" localSheetId="0">Dataset_analysis!$E$84:$P$84</definedName>
    <definedName name="_2305_0m_1_d_w30m_w1d" localSheetId="0">Dataset_analysis!$E$125:$P$125</definedName>
    <definedName name="_2305_0m_2" localSheetId="0">Dataset_analysis!$E$3:$P$3</definedName>
    <definedName name="_2305_0m_2_d" localSheetId="0">Dataset_analysis!$E$44:$P$44</definedName>
    <definedName name="_2305_0m_2_d_w30m" localSheetId="0">Dataset_analysis!$E$85:$P$85</definedName>
    <definedName name="_2305_0m_2_d_w30m_w1d" localSheetId="0">Dataset_analysis!$E$126:$P$126</definedName>
    <definedName name="_2305_0m_3" localSheetId="0">Dataset_analysis!$E$4:$P$4</definedName>
    <definedName name="_2305_0m_3_d" localSheetId="0">Dataset_analysis!$E$45:$P$45</definedName>
    <definedName name="_2305_0m_3_d_w30m" localSheetId="0">Dataset_analysis!$E$86:$P$86</definedName>
    <definedName name="_2305_0m_3_d_w30m_w1d" localSheetId="0">Dataset_analysis!$E$127:$P$127</definedName>
    <definedName name="_2305_0m_4" localSheetId="0">Dataset_analysis!$E$5:$P$5</definedName>
    <definedName name="_2305_0m_4_d" localSheetId="0">Dataset_analysis!$E$46:$P$46</definedName>
    <definedName name="_2305_0m_4_d_w30m" localSheetId="0">Dataset_analysis!$E$87:$P$87</definedName>
    <definedName name="_2305_0m_4_d_w30m_w1d" localSheetId="0">Dataset_analysis!$E$128:$P$128</definedName>
    <definedName name="_2305_0m_5" localSheetId="0">Dataset_analysis!$E$6:$P$6</definedName>
    <definedName name="_2305_0m_5_d" localSheetId="0">Dataset_analysis!$E$47:$P$47</definedName>
    <definedName name="_2305_0m_5_d_w30m" localSheetId="0">Dataset_analysis!$E$88:$P$88</definedName>
    <definedName name="_2305_0m_5_d_w30m_w1d" localSheetId="0">Dataset_analysis!$E$129:$P$129</definedName>
    <definedName name="_2305_10m_1" localSheetId="0">Dataset_analysis!$E$7:$P$7</definedName>
    <definedName name="_2305_10m_1_d" localSheetId="0">Dataset_analysis!$E$48:$P$48</definedName>
    <definedName name="_2305_10m_1_d_w30m" localSheetId="0">Dataset_analysis!$E$89:$P$89</definedName>
    <definedName name="_2305_10m_1_d_w30m_w1d" localSheetId="0">Dataset_analysis!$E$130:$P$130</definedName>
    <definedName name="_2305_10m_2" localSheetId="0">Dataset_analysis!$E$8:$P$8</definedName>
    <definedName name="_2305_10m_2_d" localSheetId="0">Dataset_analysis!$E$49:$P$49</definedName>
    <definedName name="_2305_10m_2_d_w30m" localSheetId="0">Dataset_analysis!$E$90:$P$90</definedName>
    <definedName name="_2305_10m_2_d_w30m_w1d" localSheetId="0">Dataset_analysis!$E$131:$P$131</definedName>
    <definedName name="_2305_10m_3" localSheetId="0">Dataset_analysis!$E$9:$P$9</definedName>
    <definedName name="_2305_10m_3_d" localSheetId="0">Dataset_analysis!$E$50:$P$50</definedName>
    <definedName name="_2305_10m_3_d_w30m" localSheetId="0">Dataset_analysis!$E$91:$P$91</definedName>
    <definedName name="_2305_10m_3_d_w30m_w1d_再指定" localSheetId="0">Dataset_analysis!$E$132:$P$132</definedName>
    <definedName name="_2305_10m_4" localSheetId="0">Dataset_analysis!$E$10:$P$10</definedName>
    <definedName name="_2305_10m_4_d" localSheetId="0">Dataset_analysis!$E$51:$P$51</definedName>
    <definedName name="_2305_10m_4_d_w30m" localSheetId="0">Dataset_analysis!$E$92:$P$92</definedName>
    <definedName name="_2305_10m_4_d_w30m_w1d" localSheetId="0">Dataset_analysis!$E$133:$P$133</definedName>
    <definedName name="_2305_10m_5" localSheetId="0">Dataset_analysis!$E$11:$P$11</definedName>
    <definedName name="_2305_10m_5_d" localSheetId="0">Dataset_analysis!$E$52:$P$52</definedName>
    <definedName name="_2305_10m_5_d_w30m" localSheetId="0">Dataset_analysis!$E$93:$P$93</definedName>
    <definedName name="_2305_10m_5_d_w30m_w1d" localSheetId="0">Dataset_analysis!$E$134:$P$134</definedName>
    <definedName name="_2305_1h_1" localSheetId="0">Dataset_analysis!$E$27:$P$27</definedName>
    <definedName name="_2305_1h_1_d" localSheetId="0">Dataset_analysis!$E$68:$P$68</definedName>
    <definedName name="_2305_1h_1_d_w30m" localSheetId="0">Dataset_analysis!$E$109:$P$109</definedName>
    <definedName name="_2305_1h_1_d_w30m_w1d" localSheetId="0">Dataset_analysis!$E$150:$P$150</definedName>
    <definedName name="_2305_1h_2" localSheetId="0">Dataset_analysis!$E$28:$P$28</definedName>
    <definedName name="_2305_1h_2_d" localSheetId="0">Dataset_analysis!$E$69:$P$69</definedName>
    <definedName name="_2305_1h_2_d_w30m" localSheetId="0">Dataset_analysis!$E$110:$P$110</definedName>
    <definedName name="_2305_1h_2_d_w30m_w1d" localSheetId="0">Dataset_analysis!$E$151:$P$151</definedName>
    <definedName name="_2305_1h_3" localSheetId="0">Dataset_analysis!$E$29:$P$29</definedName>
    <definedName name="_2305_1h_3_d" localSheetId="0">Dataset_analysis!$E$70:$P$70</definedName>
    <definedName name="_2305_1h_3_d_w30m" localSheetId="0">Dataset_analysis!$E$111:$P$111</definedName>
    <definedName name="_2305_1h_3_d_w30m_w1d" localSheetId="0">Dataset_analysis!$E$152:$P$152</definedName>
    <definedName name="_2305_1h_4" localSheetId="0">Dataset_analysis!$E$30:$P$30</definedName>
    <definedName name="_2305_1h_4_d" localSheetId="0">Dataset_analysis!$E$71:$P$71</definedName>
    <definedName name="_2305_1h_4_d_w30m" localSheetId="0">Dataset_analysis!$E$112:$P$112</definedName>
    <definedName name="_2305_1h_4_d_w30m_w1d" localSheetId="0">Dataset_analysis!$E$153:$P$153</definedName>
    <definedName name="_2305_1h_5" localSheetId="0">Dataset_analysis!$E$31:$P$31</definedName>
    <definedName name="_2305_1h_5_d" localSheetId="0">Dataset_analysis!$E$72:$P$72</definedName>
    <definedName name="_2305_1h_5_d_w30m" localSheetId="0">Dataset_analysis!$E$113:$P$113</definedName>
    <definedName name="_2305_1h_5_d_w30m_w1d" localSheetId="0">Dataset_analysis!$E$154:$P$154</definedName>
    <definedName name="_2305_20m_1" localSheetId="0">Dataset_analysis!$E$12:$P$12</definedName>
    <definedName name="_2305_20m_1_d_w30m" localSheetId="0">Dataset_analysis!$E$94:$P$94</definedName>
    <definedName name="_2305_20m_1_d_w30m_w1d" localSheetId="0">Dataset_analysis!$E$135:$P$135</definedName>
    <definedName name="_2305_20m_1_d_再指定" localSheetId="0">Dataset_analysis!$E$53:$P$53</definedName>
    <definedName name="_2305_20m_2" localSheetId="0">Dataset_analysis!$E$13:$P$13</definedName>
    <definedName name="_2305_20m_2_d" localSheetId="0">Dataset_analysis!$E$54:$P$54</definedName>
    <definedName name="_2305_20m_2_d_w30m" localSheetId="0">Dataset_analysis!$E$95:$P$95</definedName>
    <definedName name="_2305_20m_2_d_w30m_w1d" localSheetId="0">Dataset_analysis!$E$136:$P$136</definedName>
    <definedName name="_2305_20m_3" localSheetId="0">Dataset_analysis!$E$14:$P$14</definedName>
    <definedName name="_2305_20m_3_d" localSheetId="0">Dataset_analysis!$E$55:$P$55</definedName>
    <definedName name="_2305_20m_3_d_w30m" localSheetId="0">Dataset_analysis!$E$96:$P$96</definedName>
    <definedName name="_2305_20m_3_d_w30m_w1d" localSheetId="0">Dataset_analysis!$E$137:$P$137</definedName>
    <definedName name="_2305_20m_4" localSheetId="0">Dataset_analysis!$E$15:$P$15</definedName>
    <definedName name="_2305_20m_4_d" localSheetId="0">Dataset_analysis!$E$56:$P$56</definedName>
    <definedName name="_2305_20m_4_d_w30m" localSheetId="0">Dataset_analysis!$E$97:$P$97</definedName>
    <definedName name="_2305_20m_4_d_w30m_w1d" localSheetId="0">Dataset_analysis!$E$138:$P$138</definedName>
    <definedName name="_2305_20m_5" localSheetId="0">Dataset_analysis!$E$16:$P$16</definedName>
    <definedName name="_2305_20m_5_d" localSheetId="0">Dataset_analysis!$E$57:$P$57</definedName>
    <definedName name="_2305_20m_5_d_w30m" localSheetId="0">Dataset_analysis!$E$98:$P$98</definedName>
    <definedName name="_2305_20m_5_d_w30m_w1d" localSheetId="0">Dataset_analysis!$E$139:$P$139</definedName>
    <definedName name="_2305_2h_1" localSheetId="0">Dataset_analysis!$E$32:$P$32</definedName>
    <definedName name="_2305_2h_1_d" localSheetId="0">Dataset_analysis!$E$73:$P$73</definedName>
    <definedName name="_2305_2h_1_d_w30m" localSheetId="0">Dataset_analysis!$E$114:$P$114</definedName>
    <definedName name="_2305_2h_1_d_w30m_w1d" localSheetId="0">Dataset_analysis!$E$155:$P$155</definedName>
    <definedName name="_2305_2h_2" localSheetId="0">Dataset_analysis!$E$33:$P$33</definedName>
    <definedName name="_2305_2h_2_d" localSheetId="0">Dataset_analysis!$E$74:$P$74</definedName>
    <definedName name="_2305_2h_2_d_w30m" localSheetId="0">Dataset_analysis!$E$115:$P$115</definedName>
    <definedName name="_2305_2h_2_d_w30m_w1d" localSheetId="0">Dataset_analysis!$E$156:$P$156</definedName>
    <definedName name="_2305_2h_3" localSheetId="0">Dataset_analysis!$E$34:$P$34</definedName>
    <definedName name="_2305_2h_3_d" localSheetId="0">Dataset_analysis!$E$75:$P$75</definedName>
    <definedName name="_2305_2h_3_d_w30m" localSheetId="0">Dataset_analysis!$E$116:$P$116</definedName>
    <definedName name="_2305_2h_3_d_w30m_w1d" localSheetId="0">Dataset_analysis!$E$157:$P$157</definedName>
    <definedName name="_2305_2h_4" localSheetId="0">Dataset_analysis!$E$35:$P$35</definedName>
    <definedName name="_2305_2h_4_d" localSheetId="0">Dataset_analysis!$E$76:$P$76</definedName>
    <definedName name="_2305_2h_4_d_w30m" localSheetId="0">Dataset_analysis!$E$117:$P$117</definedName>
    <definedName name="_2305_2h_4_d_w30m_w1d" localSheetId="0">Dataset_analysis!$E$158:$P$158</definedName>
    <definedName name="_2305_2h_5" localSheetId="0">Dataset_analysis!$E$36:$P$36</definedName>
    <definedName name="_2305_2h_5_d" localSheetId="0">Dataset_analysis!$E$77:$P$77</definedName>
    <definedName name="_2305_2h_5_d_w30m" localSheetId="0">Dataset_analysis!$E$118:$P$118</definedName>
    <definedName name="_2305_2h_5_d_w30m_w1d" localSheetId="0">Dataset_analysis!$E$159:$P$159</definedName>
    <definedName name="_2305_30m_1" localSheetId="0">Dataset_analysis!$E$17:$P$17</definedName>
    <definedName name="_2305_30m_1_d" localSheetId="0">Dataset_analysis!$E$58:$P$58</definedName>
    <definedName name="_2305_30m_1_d_w30m" localSheetId="0">Dataset_analysis!$E$99:$P$99</definedName>
    <definedName name="_2305_30m_1_d_w30m_w1d" localSheetId="0">Dataset_analysis!$E$140:$P$140</definedName>
    <definedName name="_2305_30m_2" localSheetId="0">Dataset_analysis!$E$18:$P$18</definedName>
    <definedName name="_2305_30m_2_d" localSheetId="0">Dataset_analysis!$E$59:$P$59</definedName>
    <definedName name="_2305_30m_2_d_w30m" localSheetId="0">Dataset_analysis!$E$100:$P$100</definedName>
    <definedName name="_2305_30m_2_d_w30m_w1d" localSheetId="0">Dataset_analysis!$E$141:$P$141</definedName>
    <definedName name="_2305_30m_3" localSheetId="0">Dataset_analysis!$E$19:$P$19</definedName>
    <definedName name="_2305_30m_3_d" localSheetId="0">Dataset_analysis!$E$60:$P$60</definedName>
    <definedName name="_2305_30m_3_d_w30m" localSheetId="0">Dataset_analysis!$E$101:$P$101</definedName>
    <definedName name="_2305_30m_3_d_w30m_w1d" localSheetId="0">Dataset_analysis!$E$142:$P$142</definedName>
    <definedName name="_2305_30m_4" localSheetId="0">Dataset_analysis!$E$20:$P$20</definedName>
    <definedName name="_2305_30m_4_d" localSheetId="0">Dataset_analysis!$E$61:$P$61</definedName>
    <definedName name="_2305_30m_4_d_w30m" localSheetId="0">Dataset_analysis!$E$102:$P$102</definedName>
    <definedName name="_2305_30m_4_d_w30m_w1d" localSheetId="0">Dataset_analysis!$E$143:$P$143</definedName>
    <definedName name="_2305_30m_5" localSheetId="0">Dataset_analysis!$E$21:$P$21</definedName>
    <definedName name="_2305_30m_5_d" localSheetId="0">Dataset_analysis!$E$62:$P$62</definedName>
    <definedName name="_2305_30m_5_d_w30m" localSheetId="0">Dataset_analysis!$E$103:$P$103</definedName>
    <definedName name="_2305_30m_5_d_w30m_w1d" localSheetId="0">Dataset_analysis!$E$144:$P$144</definedName>
    <definedName name="_2305_3h_1" localSheetId="0">Dataset_analysis!$E$37:$P$37</definedName>
    <definedName name="_2305_3h_1_d" localSheetId="0">Dataset_analysis!$E$78:$P$78</definedName>
    <definedName name="_2305_3h_1_d_w30m" localSheetId="0">Dataset_analysis!$E$119:$P$119</definedName>
    <definedName name="_2305_3h_1_d_w30m_w1d" localSheetId="0">Dataset_analysis!$E$160:$P$160</definedName>
    <definedName name="_2305_3h_2" localSheetId="0">Dataset_analysis!$E$38:$P$38</definedName>
    <definedName name="_2305_3h_2_d" localSheetId="0">Dataset_analysis!$E$79:$P$79</definedName>
    <definedName name="_2305_3h_2_d_w30m" localSheetId="0">Dataset_analysis!$E$120:$P$120</definedName>
    <definedName name="_2305_3h_2_d_w30m_w1d" localSheetId="0">Dataset_analysis!$E$161:$P$161</definedName>
    <definedName name="_2305_3h_3" localSheetId="0">Dataset_analysis!$E$39:$P$39</definedName>
    <definedName name="_2305_3h_3_d" localSheetId="0">Dataset_analysis!$E$80:$P$80</definedName>
    <definedName name="_2305_3h_3_d_w30m" localSheetId="0">Dataset_analysis!$E$121:$P$121</definedName>
    <definedName name="_2305_3h_3_d_w30m_w1d" localSheetId="0">Dataset_analysis!$E$162:$P$162</definedName>
    <definedName name="_2305_3h_4" localSheetId="0">Dataset_analysis!$E$40:$P$40</definedName>
    <definedName name="_2305_3h_4_d" localSheetId="0">Dataset_analysis!$E$81:$P$81</definedName>
    <definedName name="_2305_3h_4_d_w30m" localSheetId="0">Dataset_analysis!$E$122:$P$122</definedName>
    <definedName name="_2305_3h_4_d_w30m_w1d" localSheetId="0">Dataset_analysis!$E$163:$P$163</definedName>
    <definedName name="_2305_3h_5" localSheetId="0">Dataset_analysis!$E$41:$P$41</definedName>
    <definedName name="_2305_3h_5_d" localSheetId="0">Dataset_analysis!$E$82:$P$82</definedName>
    <definedName name="_2305_3h_5_d_w30m" localSheetId="0">Dataset_analysis!$E$123:$P$123</definedName>
    <definedName name="_2305_3h_5_d_w30m_w1d" localSheetId="0">Dataset_analysis!$E$164:$P$164</definedName>
    <definedName name="_2305_45m_1" localSheetId="0">Dataset_analysis!$E$22:$P$22</definedName>
    <definedName name="_2305_45m_1_d" localSheetId="0">Dataset_analysis!$E$63:$P$63</definedName>
    <definedName name="_2305_45m_1_d_w30m" localSheetId="0">Dataset_analysis!$E$104:$P$104</definedName>
    <definedName name="_2305_45m_1_d_w30m_w1d" localSheetId="0">Dataset_analysis!$E$145:$P$145</definedName>
    <definedName name="_2305_45m_2" localSheetId="0">Dataset_analysis!$E$23:$P$23</definedName>
    <definedName name="_2305_45m_2_d" localSheetId="0">Dataset_analysis!$E$64:$P$64</definedName>
    <definedName name="_2305_45m_2_d_w30m" localSheetId="0">Dataset_analysis!$E$105:$P$105</definedName>
    <definedName name="_2305_45m_2_d_w30m_w1d" localSheetId="0">Dataset_analysis!$E$146:$P$146</definedName>
    <definedName name="_2305_45m_3" localSheetId="0">Dataset_analysis!$E$24:$P$24</definedName>
    <definedName name="_2305_45m_3_d" localSheetId="0">Dataset_analysis!$E$65:$P$65</definedName>
    <definedName name="_2305_45m_3_d_w30m" localSheetId="0">Dataset_analysis!$E$106:$P$106</definedName>
    <definedName name="_2305_45m_3_d_w30m_w1d" localSheetId="0">Dataset_analysis!$E$147:$P$147</definedName>
    <definedName name="_2305_45m_4" localSheetId="0">Dataset_analysis!$E$25:$P$25</definedName>
    <definedName name="_2305_45m_4_d" localSheetId="0">Dataset_analysis!$E$66:$P$66</definedName>
    <definedName name="_2305_45m_4_d_w30m" localSheetId="0">Dataset_analysis!$E$107:$P$107</definedName>
    <definedName name="_2305_45m_4_d_w30m_w1d" localSheetId="0">Dataset_analysis!$E$148:$P$148</definedName>
    <definedName name="_2305_45m_5" localSheetId="0">Dataset_analysis!$E$26:$P$26</definedName>
    <definedName name="_2305_45m_5_d" localSheetId="0">Dataset_analysis!$E$67:$P$67</definedName>
    <definedName name="_2305_45m_5_d_w30m" localSheetId="0">Dataset_analysis!$E$108:$P$108</definedName>
    <definedName name="_2305_45m_5_d_w30m_w1d" localSheetId="0">Dataset_analysis!$E$149:$P$149</definedName>
    <definedName name="_2305_4h_1" localSheetId="0">Dataset_analysis!#REF!</definedName>
    <definedName name="_2305_4h_1_d" localSheetId="0">Dataset_analysis!#REF!</definedName>
    <definedName name="_2305_4h_1_d_w30m" localSheetId="0">Dataset_analysis!#REF!</definedName>
    <definedName name="_2305_4h_1_d_w30m_w1d" localSheetId="0">Dataset_analysis!#REF!</definedName>
    <definedName name="_2305_4h_2" localSheetId="0">Dataset_analysis!#REF!</definedName>
    <definedName name="_2305_4h_2_d" localSheetId="0">Dataset_analysis!#REF!</definedName>
    <definedName name="_2305_4h_2_d_w30m" localSheetId="0">Dataset_analysis!#REF!</definedName>
    <definedName name="_2305_4h_2_d_w30m_w1d" localSheetId="0">Dataset_analysis!#REF!</definedName>
    <definedName name="_2305_4h_3" localSheetId="0">Dataset_analysis!#REF!</definedName>
    <definedName name="_2305_4h_3_d" localSheetId="0">Dataset_analysis!#REF!</definedName>
    <definedName name="_2305_4h_3_d_w30m" localSheetId="0">Dataset_analysis!#REF!</definedName>
    <definedName name="_2305_4h_3_d_w30m_w1d" localSheetId="0">Dataset_analysis!#REF!</definedName>
    <definedName name="_2305_4h_4" localSheetId="0">Dataset_analysis!#REF!</definedName>
    <definedName name="_2305_4h_4_d" localSheetId="0">Dataset_analysis!#REF!</definedName>
    <definedName name="_2305_4h_4_d_w30m" localSheetId="0">Dataset_analysis!#REF!</definedName>
    <definedName name="_2305_4h_4_d_w30m_w1d" localSheetId="0">Dataset_analysis!#REF!</definedName>
    <definedName name="_2305_4h_5" localSheetId="0">Dataset_analysis!#REF!</definedName>
    <definedName name="_2305_4h_5_d" localSheetId="0">Dataset_analysis!#REF!</definedName>
    <definedName name="_2305_4h_5_d_w30m" localSheetId="0">Dataset_analysis!#REF!</definedName>
    <definedName name="_2305_4h_5_d_w30m_w1d" localSheetId="0">Dataset_analysis!#REF!</definedName>
    <definedName name="_2305_6h_1" localSheetId="0">Dataset_analysis!#REF!</definedName>
    <definedName name="_2305_6h_1_d" localSheetId="0">Dataset_analysis!#REF!</definedName>
    <definedName name="_2305_6h_1_d_w30m" localSheetId="0">Dataset_analysis!#REF!</definedName>
    <definedName name="_2305_6h_1_d_w30m_w1d" localSheetId="0">Dataset_analysis!#REF!</definedName>
    <definedName name="_2305_6h_2" localSheetId="0">Dataset_analysis!#REF!</definedName>
    <definedName name="_2305_6h_2_d" localSheetId="0">Dataset_analysis!#REF!</definedName>
    <definedName name="_2305_6h_2_d_w30m" localSheetId="0">Dataset_analysis!#REF!</definedName>
    <definedName name="_2305_6h_2_d_w30m_w1d" localSheetId="0">Dataset_analysis!#REF!</definedName>
    <definedName name="_2305_6h_3" localSheetId="0">Dataset_analysis!#REF!</definedName>
    <definedName name="_2305_6h_3_d" localSheetId="0">Dataset_analysis!#REF!</definedName>
    <definedName name="_2305_6h_3_d_w30m" localSheetId="0">Dataset_analysis!#REF!</definedName>
    <definedName name="_2305_6h_3_d_w30m_w1d" localSheetId="0">Dataset_analysis!#REF!</definedName>
    <definedName name="_2305_6h_4" localSheetId="0">Dataset_analysis!#REF!</definedName>
    <definedName name="_2305_6h_4_d" localSheetId="0">Dataset_analysis!#REF!</definedName>
    <definedName name="_2305_6h_4_d_w30m" localSheetId="0">Dataset_analysis!#REF!</definedName>
    <definedName name="_2305_6h_4_d_w30m_w1d" localSheetId="0">Dataset_analysis!#REF!</definedName>
    <definedName name="_2305_6h_5" localSheetId="0">Dataset_analysis!#REF!</definedName>
    <definedName name="_2305_6h_5_d" localSheetId="0">Dataset_analysis!#REF!</definedName>
    <definedName name="_2305_6h_5_d_w30m" localSheetId="0">Dataset_analysis!#REF!</definedName>
    <definedName name="_2305_6h_5_d_w30m_w1d" localSheetId="0">Dataset_analysis!#REF!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9" i="1" l="1"/>
  <c r="R149" i="1"/>
  <c r="S148" i="1"/>
  <c r="R148" i="1"/>
  <c r="S147" i="1"/>
  <c r="R147" i="1"/>
  <c r="S146" i="1"/>
  <c r="R146" i="1"/>
  <c r="U145" i="1"/>
  <c r="T145" i="1"/>
  <c r="S145" i="1"/>
  <c r="R145" i="1"/>
  <c r="S139" i="1"/>
  <c r="R139" i="1"/>
  <c r="S138" i="1"/>
  <c r="R138" i="1"/>
  <c r="S137" i="1"/>
  <c r="R137" i="1"/>
  <c r="S136" i="1"/>
  <c r="R136" i="1"/>
  <c r="U135" i="1"/>
  <c r="T135" i="1"/>
  <c r="S135" i="1"/>
  <c r="R135" i="1"/>
  <c r="S108" i="1"/>
  <c r="R108" i="1"/>
  <c r="S107" i="1"/>
  <c r="R107" i="1"/>
  <c r="S106" i="1"/>
  <c r="R106" i="1"/>
  <c r="S105" i="1"/>
  <c r="R105" i="1"/>
  <c r="U104" i="1"/>
  <c r="T104" i="1"/>
  <c r="S104" i="1"/>
  <c r="R104" i="1"/>
  <c r="S98" i="1"/>
  <c r="R98" i="1"/>
  <c r="S97" i="1"/>
  <c r="R97" i="1"/>
  <c r="S96" i="1"/>
  <c r="R96" i="1"/>
  <c r="S95" i="1"/>
  <c r="R95" i="1"/>
  <c r="U94" i="1"/>
  <c r="T94" i="1"/>
  <c r="S94" i="1"/>
  <c r="R94" i="1"/>
  <c r="Z67" i="1"/>
  <c r="AA67" i="1" s="1"/>
  <c r="AA108" i="1" s="1"/>
  <c r="S67" i="1"/>
  <c r="R67" i="1"/>
  <c r="Z66" i="1"/>
  <c r="AA66" i="1" s="1"/>
  <c r="AA148" i="1" s="1"/>
  <c r="S66" i="1"/>
  <c r="R66" i="1"/>
  <c r="Z65" i="1"/>
  <c r="AA65" i="1" s="1"/>
  <c r="AA106" i="1" s="1"/>
  <c r="S65" i="1"/>
  <c r="R65" i="1"/>
  <c r="Z64" i="1"/>
  <c r="AA64" i="1" s="1"/>
  <c r="AA105" i="1" s="1"/>
  <c r="S64" i="1"/>
  <c r="R64" i="1"/>
  <c r="Z63" i="1"/>
  <c r="AA63" i="1" s="1"/>
  <c r="AA104" i="1" s="1"/>
  <c r="U63" i="1"/>
  <c r="T63" i="1"/>
  <c r="S63" i="1"/>
  <c r="R63" i="1"/>
  <c r="Z57" i="1"/>
  <c r="AA57" i="1" s="1"/>
  <c r="AA98" i="1" s="1"/>
  <c r="S57" i="1"/>
  <c r="R57" i="1"/>
  <c r="Z56" i="1"/>
  <c r="AA56" i="1" s="1"/>
  <c r="AA97" i="1" s="1"/>
  <c r="S56" i="1"/>
  <c r="R56" i="1"/>
  <c r="Z55" i="1"/>
  <c r="AA55" i="1" s="1"/>
  <c r="AA96" i="1" s="1"/>
  <c r="S55" i="1"/>
  <c r="R55" i="1"/>
  <c r="Z54" i="1"/>
  <c r="AA54" i="1" s="1"/>
  <c r="AA95" i="1" s="1"/>
  <c r="S54" i="1"/>
  <c r="R54" i="1"/>
  <c r="Z53" i="1"/>
  <c r="AA53" i="1" s="1"/>
  <c r="AA94" i="1" s="1"/>
  <c r="U53" i="1"/>
  <c r="T53" i="1"/>
  <c r="S53" i="1"/>
  <c r="R53" i="1"/>
  <c r="S26" i="1"/>
  <c r="R26" i="1"/>
  <c r="S25" i="1"/>
  <c r="R25" i="1"/>
  <c r="S24" i="1"/>
  <c r="R24" i="1"/>
  <c r="S23" i="1"/>
  <c r="R23" i="1"/>
  <c r="U22" i="1"/>
  <c r="T22" i="1"/>
  <c r="S22" i="1"/>
  <c r="R22" i="1"/>
  <c r="S16" i="1"/>
  <c r="R16" i="1"/>
  <c r="S15" i="1"/>
  <c r="R15" i="1"/>
  <c r="S14" i="1"/>
  <c r="R14" i="1"/>
  <c r="S13" i="1"/>
  <c r="R13" i="1"/>
  <c r="U12" i="1"/>
  <c r="T12" i="1"/>
  <c r="S12" i="1"/>
  <c r="R12" i="1"/>
  <c r="Z82" i="1"/>
  <c r="AA82" i="1" s="1"/>
  <c r="Z81" i="1"/>
  <c r="AA81" i="1" s="1"/>
  <c r="AA122" i="1" s="1"/>
  <c r="Z80" i="1"/>
  <c r="AA80" i="1" s="1"/>
  <c r="Z79" i="1"/>
  <c r="AA79" i="1" s="1"/>
  <c r="AA161" i="1" s="1"/>
  <c r="Z78" i="1"/>
  <c r="AA78" i="1" s="1"/>
  <c r="Z77" i="1"/>
  <c r="AA77" i="1" s="1"/>
  <c r="AA159" i="1" s="1"/>
  <c r="Z76" i="1"/>
  <c r="AA76" i="1" s="1"/>
  <c r="AA158" i="1" s="1"/>
  <c r="Z75" i="1"/>
  <c r="AA75" i="1" s="1"/>
  <c r="AA157" i="1" s="1"/>
  <c r="Z74" i="1"/>
  <c r="AA74" i="1" s="1"/>
  <c r="Z73" i="1"/>
  <c r="AA73" i="1" s="1"/>
  <c r="AA114" i="1" s="1"/>
  <c r="Z72" i="1"/>
  <c r="AA72" i="1" s="1"/>
  <c r="Z71" i="1"/>
  <c r="AA71" i="1" s="1"/>
  <c r="AA153" i="1" s="1"/>
  <c r="Z70" i="1"/>
  <c r="AA70" i="1" s="1"/>
  <c r="Z69" i="1"/>
  <c r="AA69" i="1" s="1"/>
  <c r="AA151" i="1" s="1"/>
  <c r="Z68" i="1"/>
  <c r="AA68" i="1" s="1"/>
  <c r="AA150" i="1" s="1"/>
  <c r="Z62" i="1"/>
  <c r="AA62" i="1" s="1"/>
  <c r="AA144" i="1" s="1"/>
  <c r="Z61" i="1"/>
  <c r="AA61" i="1" s="1"/>
  <c r="Z60" i="1"/>
  <c r="AA60" i="1" s="1"/>
  <c r="AA101" i="1" s="1"/>
  <c r="Z59" i="1"/>
  <c r="AA59" i="1" s="1"/>
  <c r="Z58" i="1"/>
  <c r="AA58" i="1" s="1"/>
  <c r="AA140" i="1" s="1"/>
  <c r="Z52" i="1"/>
  <c r="AA52" i="1" s="1"/>
  <c r="Z51" i="1"/>
  <c r="AA51" i="1" s="1"/>
  <c r="AA133" i="1" s="1"/>
  <c r="Z50" i="1"/>
  <c r="AA50" i="1" s="1"/>
  <c r="AA132" i="1" s="1"/>
  <c r="Z49" i="1"/>
  <c r="AA49" i="1" s="1"/>
  <c r="AA131" i="1" s="1"/>
  <c r="Z48" i="1"/>
  <c r="AA48" i="1" s="1"/>
  <c r="Z47" i="1"/>
  <c r="AA47" i="1" s="1"/>
  <c r="AA129" i="1" s="1"/>
  <c r="Z46" i="1"/>
  <c r="AA46" i="1" s="1"/>
  <c r="Z45" i="1"/>
  <c r="AA45" i="1" s="1"/>
  <c r="AA127" i="1" s="1"/>
  <c r="Z44" i="1"/>
  <c r="AA44" i="1" s="1"/>
  <c r="Z43" i="1"/>
  <c r="AA43" i="1" s="1"/>
  <c r="AA84" i="1" s="1"/>
  <c r="AA107" i="1" l="1"/>
  <c r="AA147" i="1"/>
  <c r="AA146" i="1"/>
  <c r="AA145" i="1"/>
  <c r="AA149" i="1"/>
  <c r="AA138" i="1"/>
  <c r="AA137" i="1"/>
  <c r="AA136" i="1"/>
  <c r="AA135" i="1"/>
  <c r="AA139" i="1"/>
  <c r="AA88" i="1"/>
  <c r="AA163" i="1"/>
  <c r="AA125" i="1"/>
  <c r="AA155" i="1"/>
  <c r="AA142" i="1"/>
  <c r="AA93" i="1"/>
  <c r="AA134" i="1"/>
  <c r="AA143" i="1"/>
  <c r="AA102" i="1"/>
  <c r="AA162" i="1"/>
  <c r="AA121" i="1"/>
  <c r="AA128" i="1"/>
  <c r="AA87" i="1"/>
  <c r="AA152" i="1"/>
  <c r="AA111" i="1"/>
  <c r="AA156" i="1"/>
  <c r="AA115" i="1"/>
  <c r="AA141" i="1"/>
  <c r="AA100" i="1"/>
  <c r="AA160" i="1"/>
  <c r="AA119" i="1"/>
  <c r="AA164" i="1"/>
  <c r="AA123" i="1"/>
  <c r="AA85" i="1"/>
  <c r="AA126" i="1"/>
  <c r="AA130" i="1"/>
  <c r="AA89" i="1"/>
  <c r="AA154" i="1"/>
  <c r="AA113" i="1"/>
  <c r="AA118" i="1"/>
  <c r="AA110" i="1"/>
  <c r="AA92" i="1"/>
  <c r="AA117" i="1"/>
  <c r="AA109" i="1"/>
  <c r="AA91" i="1"/>
  <c r="AA120" i="1"/>
  <c r="AA116" i="1"/>
  <c r="AA112" i="1"/>
  <c r="AA103" i="1"/>
  <c r="AA99" i="1"/>
  <c r="AA90" i="1"/>
  <c r="AA86" i="1"/>
  <c r="S164" i="1"/>
  <c r="R164" i="1"/>
  <c r="S163" i="1"/>
  <c r="R163" i="1"/>
  <c r="S162" i="1"/>
  <c r="R162" i="1"/>
  <c r="S161" i="1"/>
  <c r="R161" i="1"/>
  <c r="U160" i="1"/>
  <c r="T160" i="1"/>
  <c r="S160" i="1"/>
  <c r="R160" i="1"/>
  <c r="S159" i="1"/>
  <c r="R159" i="1"/>
  <c r="S158" i="1"/>
  <c r="R158" i="1"/>
  <c r="S157" i="1"/>
  <c r="R157" i="1"/>
  <c r="S156" i="1"/>
  <c r="R156" i="1"/>
  <c r="U155" i="1"/>
  <c r="T155" i="1"/>
  <c r="S155" i="1"/>
  <c r="R155" i="1"/>
  <c r="S154" i="1"/>
  <c r="R154" i="1"/>
  <c r="S153" i="1"/>
  <c r="R153" i="1"/>
  <c r="S152" i="1"/>
  <c r="R152" i="1"/>
  <c r="S151" i="1"/>
  <c r="R151" i="1"/>
  <c r="U150" i="1"/>
  <c r="T150" i="1"/>
  <c r="S150" i="1"/>
  <c r="R150" i="1"/>
  <c r="S144" i="1"/>
  <c r="R144" i="1"/>
  <c r="S143" i="1"/>
  <c r="R143" i="1"/>
  <c r="S142" i="1"/>
  <c r="R142" i="1"/>
  <c r="S141" i="1"/>
  <c r="R141" i="1"/>
  <c r="U140" i="1"/>
  <c r="T140" i="1"/>
  <c r="S140" i="1"/>
  <c r="R140" i="1"/>
  <c r="S134" i="1"/>
  <c r="R134" i="1"/>
  <c r="S133" i="1"/>
  <c r="R133" i="1"/>
  <c r="S132" i="1"/>
  <c r="R132" i="1"/>
  <c r="S131" i="1"/>
  <c r="R131" i="1"/>
  <c r="U130" i="1"/>
  <c r="T130" i="1"/>
  <c r="S130" i="1"/>
  <c r="R130" i="1"/>
  <c r="S129" i="1"/>
  <c r="R129" i="1"/>
  <c r="S128" i="1"/>
  <c r="R128" i="1"/>
  <c r="S127" i="1"/>
  <c r="R127" i="1"/>
  <c r="S126" i="1"/>
  <c r="R126" i="1"/>
  <c r="U125" i="1"/>
  <c r="T125" i="1"/>
  <c r="S125" i="1"/>
  <c r="R125" i="1"/>
  <c r="S123" i="1"/>
  <c r="R123" i="1"/>
  <c r="S122" i="1"/>
  <c r="R122" i="1"/>
  <c r="S121" i="1"/>
  <c r="R121" i="1"/>
  <c r="S120" i="1"/>
  <c r="R120" i="1"/>
  <c r="U119" i="1"/>
  <c r="T119" i="1"/>
  <c r="S119" i="1"/>
  <c r="R119" i="1"/>
  <c r="S118" i="1"/>
  <c r="R118" i="1"/>
  <c r="S117" i="1"/>
  <c r="R117" i="1"/>
  <c r="S116" i="1"/>
  <c r="R116" i="1"/>
  <c r="S115" i="1"/>
  <c r="R115" i="1"/>
  <c r="U114" i="1"/>
  <c r="T114" i="1"/>
  <c r="S114" i="1"/>
  <c r="R114" i="1"/>
  <c r="S113" i="1"/>
  <c r="R113" i="1"/>
  <c r="S112" i="1"/>
  <c r="R112" i="1"/>
  <c r="S111" i="1"/>
  <c r="R111" i="1"/>
  <c r="S110" i="1"/>
  <c r="R110" i="1"/>
  <c r="U109" i="1"/>
  <c r="T109" i="1"/>
  <c r="S109" i="1"/>
  <c r="R109" i="1"/>
  <c r="S103" i="1"/>
  <c r="R103" i="1"/>
  <c r="S102" i="1"/>
  <c r="R102" i="1"/>
  <c r="S101" i="1"/>
  <c r="R101" i="1"/>
  <c r="S100" i="1"/>
  <c r="R100" i="1"/>
  <c r="U99" i="1"/>
  <c r="T99" i="1"/>
  <c r="S99" i="1"/>
  <c r="R99" i="1"/>
  <c r="S93" i="1"/>
  <c r="R93" i="1"/>
  <c r="S92" i="1"/>
  <c r="R92" i="1"/>
  <c r="S91" i="1"/>
  <c r="R91" i="1"/>
  <c r="S90" i="1"/>
  <c r="R90" i="1"/>
  <c r="U89" i="1"/>
  <c r="T89" i="1"/>
  <c r="S89" i="1"/>
  <c r="R89" i="1"/>
  <c r="S88" i="1"/>
  <c r="R88" i="1"/>
  <c r="S87" i="1"/>
  <c r="R87" i="1"/>
  <c r="S86" i="1"/>
  <c r="R86" i="1"/>
  <c r="S85" i="1"/>
  <c r="R85" i="1"/>
  <c r="U84" i="1"/>
  <c r="T84" i="1"/>
  <c r="S84" i="1"/>
  <c r="R84" i="1"/>
  <c r="S82" i="1"/>
  <c r="R82" i="1"/>
  <c r="S81" i="1"/>
  <c r="R81" i="1"/>
  <c r="S80" i="1"/>
  <c r="R80" i="1"/>
  <c r="S79" i="1"/>
  <c r="R79" i="1"/>
  <c r="U78" i="1"/>
  <c r="T78" i="1"/>
  <c r="S78" i="1"/>
  <c r="R78" i="1"/>
  <c r="S77" i="1"/>
  <c r="R77" i="1"/>
  <c r="S76" i="1"/>
  <c r="R76" i="1"/>
  <c r="S75" i="1"/>
  <c r="R75" i="1"/>
  <c r="S74" i="1"/>
  <c r="R74" i="1"/>
  <c r="U73" i="1"/>
  <c r="T73" i="1"/>
  <c r="S73" i="1"/>
  <c r="R73" i="1"/>
  <c r="S72" i="1"/>
  <c r="R72" i="1"/>
  <c r="S71" i="1"/>
  <c r="R71" i="1"/>
  <c r="S70" i="1"/>
  <c r="R70" i="1"/>
  <c r="S69" i="1"/>
  <c r="R69" i="1"/>
  <c r="U68" i="1"/>
  <c r="T68" i="1"/>
  <c r="S68" i="1"/>
  <c r="R68" i="1"/>
  <c r="S62" i="1"/>
  <c r="R62" i="1"/>
  <c r="S61" i="1"/>
  <c r="R61" i="1"/>
  <c r="S60" i="1"/>
  <c r="R60" i="1"/>
  <c r="S59" i="1"/>
  <c r="R59" i="1"/>
  <c r="U58" i="1"/>
  <c r="T58" i="1"/>
  <c r="S58" i="1"/>
  <c r="R58" i="1"/>
  <c r="S52" i="1"/>
  <c r="R52" i="1"/>
  <c r="S51" i="1"/>
  <c r="R51" i="1"/>
  <c r="S50" i="1"/>
  <c r="R50" i="1"/>
  <c r="S49" i="1"/>
  <c r="R49" i="1"/>
  <c r="U48" i="1"/>
  <c r="T48" i="1"/>
  <c r="S48" i="1"/>
  <c r="R48" i="1"/>
  <c r="S47" i="1"/>
  <c r="R47" i="1"/>
  <c r="S46" i="1"/>
  <c r="R46" i="1"/>
  <c r="S45" i="1"/>
  <c r="R45" i="1"/>
  <c r="S44" i="1"/>
  <c r="R44" i="1"/>
  <c r="U43" i="1"/>
  <c r="T43" i="1"/>
  <c r="S43" i="1"/>
  <c r="R43" i="1"/>
  <c r="U37" i="1"/>
  <c r="T37" i="1"/>
  <c r="U32" i="1"/>
  <c r="T32" i="1"/>
  <c r="U27" i="1"/>
  <c r="T27" i="1"/>
  <c r="U17" i="1"/>
  <c r="T17" i="1"/>
  <c r="U7" i="1"/>
  <c r="T7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1" i="1"/>
  <c r="R21" i="1"/>
  <c r="S20" i="1"/>
  <c r="R20" i="1"/>
  <c r="S19" i="1"/>
  <c r="R19" i="1"/>
  <c r="S18" i="1"/>
  <c r="R18" i="1"/>
  <c r="S17" i="1"/>
  <c r="R17" i="1"/>
  <c r="S11" i="1"/>
  <c r="R11" i="1"/>
  <c r="S10" i="1"/>
  <c r="R10" i="1"/>
  <c r="S9" i="1"/>
  <c r="R9" i="1"/>
  <c r="S8" i="1"/>
  <c r="R8" i="1"/>
  <c r="S7" i="1"/>
  <c r="R7" i="1"/>
  <c r="S2" i="1"/>
  <c r="R2" i="1"/>
  <c r="S6" i="1"/>
  <c r="R6" i="1"/>
  <c r="S5" i="1"/>
  <c r="R5" i="1"/>
  <c r="S4" i="1"/>
  <c r="R4" i="1"/>
  <c r="S3" i="1"/>
  <c r="R3" i="1"/>
  <c r="U2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BF75F-60BB-F242-89C1-40F509A93F55}" name="20220820-0m-1" type="6" refreshedVersion="6" background="1" saveData="1">
    <textPr codePage="10001" sourceFile="/Users/teradaryuuta_iMac2016/Dropbox/Terada_DATA_2022/1_Project/イワズタ研究_2022/1_湿度50%乾燥耐性/20220820-Desiccation-0d/0min-always-immersed/0m/20220820-0m-1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E3129A6-6744-0548-A67F-B1AAD586177D}" name="2305-0m-1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3_W1d/2305-0m-1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64C126BC-C55A-624C-B676-574739389596}" name="2305-0m-1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2_W30m/2305-0m-1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849EE432-B3A1-514C-ACF9-F48B454870CB}" name="2305-0m-1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1_Desiccation/2305-0m-1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6AAC62C3-0958-8241-AAC2-E19F99BD3A37}" name="2305-0m-2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3_W1d/2305-0m-2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3CDF7AA-535F-4C49-B390-E6C4DC3CB86A}" name="2305-0m-2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2_W30m/2305-0m-2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ABD533BB-CEE5-7844-8058-344EA5556A85}" name="2305-0m-2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1_Desiccation/2305-0m-2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CA026DDC-FA79-5C41-A946-4E9DF2A4F67C}" name="2305-0m-2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0_Initial/2305-0m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C0A79CCE-710B-864C-8859-2F7D69B80AF3}" name="2305-0m-3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3_W1d/2305-0m-3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DDAEF71F-B4F5-3946-9D19-35CEC34F820F}" name="2305-0m-3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2_W30m/2305-0m-3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68876CE5-0C1B-AE4F-88C8-816403C8E0A5}" name="2305-0m-3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1_Desiccation/2305-0m-3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BD79E2A1-6483-D446-90EF-72732F238CA3}" name="2305-0m-3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0_Initial/2305-0m-3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6F1FFA7E-0FFC-C146-9BD4-761190BB041E}" name="2305-0m-4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3_W1d/2305-0m-4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3AC86F5A-00E4-9D46-8B56-EB80E5AB531A}" name="2305-0m-4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2_W30m/2305-0m-4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EBE119F8-D6CD-FF42-97AE-D58E15208CEC}" name="2305-0m-4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1_Desiccation/2305-0m-4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AEBBC129-F1C4-DA41-B38C-AA0561F996EE}" name="2305-0m-4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0_Initial/2305-0m-4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F236C982-1F41-EE44-85A5-181BAE9EC061}" name="2305-0m-5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3_W1d/2305-0m-5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4BC13E56-803F-FA4A-AF4D-07E0A3B419EC}" name="2305-0m-5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2_W30m/2305-0m-5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C7FDC104-4DD0-974F-953C-4DABF4AF747B}" name="2305-0m-5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1_Desiccation/2305-0m-5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E5CD5C0E-2150-D64B-9A10-2A3D949818B9}" name="2305-0m-5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0m/0_Initial/2305-0m-5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307559D2-1D61-A34E-ACAE-3DAB37AA6BF2}" name="2305-10m-1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3_W1d/2305-10m-1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xr16:uid="{B08C6A7E-DB48-4B42-A792-261D066A1E07}" name="2305-10m-1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2_W30m/2305-10m-1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xr16:uid="{D98AE5E2-03FD-7346-80B7-97D586AFD459}" name="2305-10m-1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1_Desiccation/2305-10m-1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xr16:uid="{A9167F1B-9491-D742-BB3A-231C81AB2AEC}" name="2305-10m-1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0_Initial/2305-10m-1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xr16:uid="{77F7062F-DA00-294E-A637-C5711116C9C6}" name="2305-10m-2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3_W1d/2305-10m-2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xr16:uid="{0BAA99B6-D38F-0D4B-99DB-9BBA241A360C}" name="2305-10m-2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2_W30m/2305-10m-2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xr16:uid="{9281ECA5-B9A3-A74A-A690-F3D4AA28F92E}" name="2305-10m-2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1_Desiccation/2305-10m-2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xr16:uid="{61D79641-38A4-BC48-BAD5-B2EE8D3A326B}" name="2305-10m-2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0_Initial/2305-10m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9" xr16:uid="{3362DA0D-4EC9-3447-8770-328DACFBB9D5}" name="2305-10m-3-d-w30m-w1d-再指定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305-10m-3-d-w30m-w1d-再指定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0" xr16:uid="{31EC5078-5D1B-824A-B0BB-AA8685348B6A}" name="2305-10m-3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2_W30m/2305-10m-3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1" xr16:uid="{51870023-F93F-C64F-AE8D-BA87BDFDDFD6}" name="2305-10m-3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1_Desiccation/2305-10m-3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2" xr16:uid="{8FCD9800-F7EC-D84B-B930-63A6716DC70A}" name="2305-10m-3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0_Initial/2305-10m-3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3" xr16:uid="{59644138-DC37-494C-86DF-60B1A901E3A2}" name="2305-10m-4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3_W1d/2305-10m-4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4" xr16:uid="{B978237D-3AA1-8E4A-BEFD-9660755DFC5B}" name="2305-10m-4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2_W30m/2305-10m-4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5" xr16:uid="{58035EAB-BFE9-DB4C-A02D-86E273D62EB3}" name="2305-10m-4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1_Desiccation/2305-10m-4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6" xr16:uid="{AFA84BD5-84C7-9F42-B62F-BFDDC5D7501F}" name="2305-10m-4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0_Initial/2305-10m-4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7" xr16:uid="{FE766D43-7DE1-B44C-BDE6-77440A94F41E}" name="2305-10m-5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3_W1d/2305-10m-5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8" xr16:uid="{F52EA206-C66A-DD43-A668-DB39AB628FD0}" name="2305-10m-5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2_W30m/2305-10m-5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9" xr16:uid="{D49BBE48-8473-EC4A-B09C-3DB5DAE03CEE}" name="2305-10m-5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1_Desiccation/2305-10m-5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0" xr16:uid="{868B175F-D866-504A-BF65-5039A85A8830}" name="2305-10m-5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0m/0_Initial/2305-10m-5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1" xr16:uid="{B0F95F58-344F-364B-8CF8-1EDB56AF67DB}" name="2305-1h-1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3_W1d/2305-1h-1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2" xr16:uid="{7B28B0B0-7E6A-FA49-AA1D-E38247090257}" name="2305-1h-1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2_W30m/2305-1h-1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3" xr16:uid="{D22D5F96-A8C7-9B40-B88C-557B390D9DA4}" name="2305-1h-1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1_Desiccation/2305-1h-1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4" xr16:uid="{C5BA9A93-437B-064A-B702-A682A6891751}" name="2305-1h-1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0_Initial/2305-1h-1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5" xr16:uid="{FF4C1A84-8EC7-F644-BB74-1B5D07850D0A}" name="2305-1h-2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3_W1d/2305-1h-2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6" xr16:uid="{987ECC43-564F-B04C-AB87-BEFBC8C567E4}" name="2305-1h-2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2_W30m/2305-1h-2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7" xr16:uid="{3BA8FF6F-4ACE-9B49-AC87-46882167719C}" name="2305-1h-2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1_Desiccation/2305-1h-2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8" xr16:uid="{9EFB886F-013A-F04C-9602-83BE960719F5}" name="2305-1h-2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0_Initial/2305-1h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9" xr16:uid="{8B1DAA05-527A-7742-AD0C-22A3D47ECA67}" name="2305-1h-3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3_W1d/2305-1h-3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0" xr16:uid="{9380B3D8-F0CF-774C-AA8A-181653D1ADF2}" name="2305-1h-3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2_W30m/2305-1h-3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1" xr16:uid="{5BD0A0D3-11C2-2744-8045-DC787E6C1626}" name="2305-1h-3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1_Desiccation/2305-1h-3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2" xr16:uid="{16EC6B4B-7155-1C49-A74F-6E4C6FD3039A}" name="2305-1h-3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0_Initial/2305-1h-3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3" xr16:uid="{B331659B-65A1-CF4D-92C3-D4B8B62B314D}" name="2305-1h-4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3_W1d/2305-1h-4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4" xr16:uid="{64777B48-CA2F-214E-8D53-E5C1293F1669}" name="2305-1h-4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2_W30m/2305-1h-4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5" xr16:uid="{D15B31E2-76AB-7140-A804-9EF2C7BCD13D}" name="2305-1h-4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1_Desiccation/2305-1h-4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6" xr16:uid="{2F69FDDD-9CAD-1245-9667-8F67869CF5FF}" name="2305-1h-4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0_Initial/2305-1h-4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7" xr16:uid="{0B73BE05-3E1F-1444-A962-9A93004B0FAE}" name="2305-1h-5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3_W1d/2305-1h-5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8" xr16:uid="{D976C0D4-D039-7C4A-B411-20FE83EED137}" name="2305-1h-5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2_W30m/2305-1h-5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9" xr16:uid="{BBE7BD79-2999-6B40-9059-C2E0DEB7031A}" name="2305-1h-5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1_Desiccation/2305-1h-5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0" xr16:uid="{238FEA24-452E-A444-803D-3FE440103FC2}" name="2305-1h-5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1h/0_Initial/2305-1h-5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1" xr16:uid="{24D677BD-BAF4-E443-B105-2F0E08763150}" name="2305-20m-1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3_W1d/2305-20m-1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2" xr16:uid="{C3C92D29-AC6F-E24F-8540-B0C0C841B68D}" name="2305-20m-1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2_W30m/2305-20m-1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3" xr16:uid="{4331E7B9-6038-6B48-8EC3-3BF1375D102A}" name="2305-20m-1-d-再指定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305-20m-1-d-再指定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4" xr16:uid="{B577F96F-9B3E-A54E-BA99-7B2817A3BC51}" name="2305-20m-1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0_Initial/2305-20m-1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5" xr16:uid="{2B99CC8E-0FB3-7948-BC18-B660F64ED5AD}" name="2305-20m-2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3_W1d/2305-20m-2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6" xr16:uid="{E5AE56BF-B27B-BA4A-BA8B-105103A8FE61}" name="2305-20m-2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2_W30m/2305-20m-2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7" xr16:uid="{B0A38D2E-9175-784B-9393-FB7A65BC9EAB}" name="2305-20m-2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1_Desiccation/2305-20m-2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8" xr16:uid="{3CED13D6-141D-C24E-B14D-9704E046BED9}" name="2305-20m-2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0_Initial/2305-20m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9" xr16:uid="{B44D6ABA-AE87-5E46-AE58-99E99454C325}" name="2305-20m-3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3_W1d/2305-20m-3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0" xr16:uid="{79916240-379C-834E-97E7-EA429CD6E6DF}" name="2305-20m-3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2_W30m/2305-20m-3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1" xr16:uid="{7B30A3F6-A205-4E46-A2D7-2D4BD6BC71C9}" name="2305-20m-3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1_Desiccation/2305-20m-3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2" xr16:uid="{F7405D8C-863E-984D-80A7-5C4454216328}" name="2305-20m-3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0_Initial/2305-20m-3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3" xr16:uid="{9FC0290F-CFF0-AF46-A92F-7B57F2247593}" name="2305-20m-4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3_W1d/2305-20m-4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4" xr16:uid="{8A1C1B99-082B-D14E-AF29-2558BABAA862}" name="2305-20m-4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2_W30m/2305-20m-4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5" xr16:uid="{37E1FB9E-06BC-EE45-B640-747890477FBC}" name="2305-20m-4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1_Desiccation/2305-20m-4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6" xr16:uid="{8DE96577-77D8-2847-9A28-01566A7A08F9}" name="2305-20m-4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0_Initial/2305-20m-4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7" xr16:uid="{68789CA7-B6EF-FE41-A766-AC745818F9E3}" name="2305-20m-5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3_W1d/2305-20m-5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8" xr16:uid="{84261E77-B5E7-8642-8A05-2F4F22F5FC37}" name="2305-20m-5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2_W30m/2305-20m-5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9" xr16:uid="{2909EF27-8A15-6A43-8C1B-5E10EAFEDDEB}" name="2305-20m-5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1_Desiccation/2305-20m-5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0" xr16:uid="{BC8979B2-93DA-AF4F-BEDB-871708D8B52A}" name="2305-20m-5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0m/0_Initial/2305-20m-5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1" xr16:uid="{8DAAFF73-F76D-E344-82C0-6847285B67B0}" name="2305-2h-1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3_W1d/2305-2h-1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2" xr16:uid="{AFAB9B5D-7F5A-2042-AA47-2785956D4F70}" name="2305-2h-1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2_W30m/2305-2h-1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3" xr16:uid="{E86E7733-1962-4B49-A9C3-513D25B0C09C}" name="2305-2h-1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1_Desiccation/2305-2h-1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4" xr16:uid="{2AD36CF5-B2EF-C148-8758-CA742A109A1F}" name="2305-2h-1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0_Initial/2305-2h-1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5" xr16:uid="{19F51616-40E5-E641-BC6E-D69401EB80AC}" name="2305-2h-2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3_W1d/2305-2h-2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6" xr16:uid="{8A2462BF-F4C0-CA45-A48D-C3CF10C12376}" name="2305-2h-2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2_W30m/2305-2h-2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7" xr16:uid="{F54BECD2-4318-B042-A7DE-D169B35E1BF5}" name="2305-2h-2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1_Desiccation/2305-2h-2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8" xr16:uid="{6FFFB6DE-C64C-6E45-A54A-4952142C3C80}" name="2305-2h-2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0_Initial/2305-2h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9" xr16:uid="{5BC20DBE-8C62-E041-83D4-ED726E84520B}" name="2305-2h-3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3_W1d/2305-2h-3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0" xr16:uid="{C7C84966-48EB-754B-B59A-646ADAA96D71}" name="2305-2h-3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2_W30m/2305-2h-3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1" xr16:uid="{4C8E3B72-1E07-7F49-9C31-194789B4D31A}" name="2305-2h-3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1_Desiccation/2305-2h-3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2" xr16:uid="{F6C6FDE2-5E8B-5042-BEA7-6128D1BF0B5C}" name="2305-2h-3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0_Initial/2305-2h-3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3" xr16:uid="{82D6EEB1-97FB-D345-AA8F-96E8E4FD09AA}" name="2305-2h-4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3_W1d/2305-2h-4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4" xr16:uid="{3388AFB9-7933-924F-A07F-E809EA4B7005}" name="2305-2h-4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2_W30m/2305-2h-4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5" xr16:uid="{06633F47-61C3-B743-BDCC-A58D56BF3F02}" name="2305-2h-4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1_Desiccation/2305-2h-4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6" xr16:uid="{7343A03B-6659-2A44-823C-17CF861FF459}" name="2305-2h-4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0_Initial/2305-2h-4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7" xr16:uid="{B2BDF09C-0E25-BF4D-9A48-22E9D06BA1F6}" name="2305-2h-5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3_W1d/2305-2h-5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8" xr16:uid="{9605D138-65F2-C840-93F5-7E44DF0464B5}" name="2305-2h-5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2_W30m/2305-2h-5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9" xr16:uid="{25E66FA2-0D84-6C48-90F2-C6E5189B36CD}" name="2305-2h-5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1_Desiccation/2305-2h-5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0" xr16:uid="{C3A14CA7-623D-7640-84CC-9173212A36D2}" name="2305-2h-5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2h/0_Initial/2305-2h-5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1" xr16:uid="{DCF8B4E9-EB6D-0B4B-9142-9292214394B4}" name="2305-30m-1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3_W1d/2305-30m-1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2" xr16:uid="{D9628178-E5D5-1A43-B4D2-BE5A90EDFF58}" name="2305-30m-1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2_W30m/2305-30m-1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3" xr16:uid="{C3A7F3F6-766B-2348-BC9D-60BC6A7A0AF8}" name="2305-30m-1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1_Desiccation/2305-30m-1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4" xr16:uid="{A2F4ECCB-51AE-C041-8057-442719C21894}" name="2305-30m-1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0_Initial/2305-30m-1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5" xr16:uid="{923ECFD2-7EB1-C741-B5EA-6C474CF9D05C}" name="2305-30m-2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3_W1d/2305-30m-2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6" xr16:uid="{0E016434-CA9A-4548-A633-073C41BE3497}" name="2305-30m-2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2_W30m/2305-30m-2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7" xr16:uid="{D01A211E-B29F-A544-A17F-FE5242F21466}" name="2305-30m-2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1_Desiccation/2305-30m-2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8" xr16:uid="{A9F07FAC-7B96-064F-9D8D-E3F6E8F382CA}" name="2305-30m-2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0_Initial/2305-30m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9" xr16:uid="{B5E8672B-69A6-6D4D-BAC6-63983F5B4865}" name="2305-30m-3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3_W1d/2305-30m-3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0" xr16:uid="{9B9294E5-BE05-CB43-8627-7A86972345BC}" name="2305-30m-3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2_W30m/2305-30m-3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1" xr16:uid="{31659F0B-62DC-A94F-83A4-41B518F1DD19}" name="2305-30m-3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1_Desiccation/2305-30m-3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2" xr16:uid="{CC08CDA9-51C4-CF4C-8A60-1BA0D819E528}" name="2305-30m-3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0_Initial/2305-30m-3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3" xr16:uid="{0C61079C-61EA-724F-995A-9A0AA5459E44}" name="2305-30m-4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3_W1d/2305-30m-4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4" xr16:uid="{9A053502-3238-6449-BF62-919806117F7E}" name="2305-30m-4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2_W30m/2305-30m-4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5" xr16:uid="{77C117C2-CBDE-C34F-B2C2-CD2F23BB0761}" name="2305-30m-4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1_Desiccation/2305-30m-4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6" xr16:uid="{3DF0EE2A-EBF4-1D44-9941-7FDDCF936B88}" name="2305-30m-4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0_Initial/2305-30m-4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7" xr16:uid="{36616A5D-A761-5346-8CF0-05D58AAED2EB}" name="2305-30m-5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3_W1d/2305-30m-5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8" xr16:uid="{00AC634D-3CAE-C24E-8CAA-3FD48B660F29}" name="2305-30m-5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2_W30m/2305-30m-5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9" xr16:uid="{3C042F17-DBF1-1F49-AC9E-B20AC293B792}" name="2305-30m-5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1_Desiccation/2305-30m-5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0" xr16:uid="{CFAA1F62-D5E0-1241-B5F2-0E5CCDEF3202}" name="2305-30m-5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0m/0_Initial/2305-30m-5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1" xr16:uid="{F1B12BF3-6092-EA4D-8E54-93ED126AB772}" name="2305-3h-1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3_W1d/2305-3h-1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2" xr16:uid="{6A9B9FDB-F56A-7646-B9CF-DBEDBDB9D24E}" name="2305-3h-1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2_W30m/2305-3h-1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3" xr16:uid="{E10B4344-9765-014A-9F02-B20543CC9740}" name="2305-3h-1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1_Desiccation/2305-3h-1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4" xr16:uid="{5DAEBD97-5A28-8C47-9A9C-45D1A4C36DD2}" name="2305-3h-1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0_Initial/2305-3h-1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5" xr16:uid="{613F3B27-B2B6-8D4E-BFF3-93FE94C81259}" name="2305-3h-2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3_W1d/2305-3h-2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6" xr16:uid="{ACFE2D7C-A6FC-C444-96D0-4C756CC3E5BF}" name="2305-3h-2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2_W30m/2305-3h-2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7" xr16:uid="{C4775E52-50DA-E64F-A5B8-45B5DEAF050A}" name="2305-3h-2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1_Desiccation/2305-3h-2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8" xr16:uid="{049EC467-CA62-D44A-9689-5AB07A36D6E7}" name="2305-3h-2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0_Initial/2305-3h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9" xr16:uid="{29CC8BB7-AC0C-4C4D-819C-44D05AC3CD96}" name="2305-3h-3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3_W1d/2305-3h-3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0" xr16:uid="{855E754B-AB9F-434E-BC5B-F9563989F6AF}" name="2305-3h-3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2_W30m/2305-3h-3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1" xr16:uid="{A0BB510C-9C0D-AA43-BC2F-7085ED7E25ED}" name="2305-3h-3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1_Desiccation/2305-3h-3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2" xr16:uid="{6847C970-1FA4-174C-890F-F6BFA86B8983}" name="2305-3h-3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0_Initial/2305-3h-3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3" xr16:uid="{1B8DBE2F-FDA5-3440-A7F3-AEDB1002E9F9}" name="2305-3h-4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3_W1d/2305-3h-4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4" xr16:uid="{17979E7A-3CA3-0940-8002-B1433A93042D}" name="2305-3h-4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2_W30m/2305-3h-4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5" xr16:uid="{E241EBB7-BBD7-C94B-B8E2-3C632590B497}" name="2305-3h-4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1_Desiccation/2305-3h-4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6" xr16:uid="{06FEE6CD-47F4-EF40-A67E-6337BB378F69}" name="2305-3h-4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0_Initial/2305-3h-4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7" xr16:uid="{0EDFC5CD-9792-2F48-9B8A-D84DD52BC1B7}" name="2305-3h-5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3_W1d/2305-3h-5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8" xr16:uid="{B24A3320-81A6-3B4B-BC5B-42EF3420AEF1}" name="2305-3h-5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2_W30m/2305-3h-5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9" xr16:uid="{AB232E9F-919E-B04A-84D6-51100F5C4B80}" name="2305-3h-5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1_Desiccation/2305-3h-5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0" xr16:uid="{E7356CAB-E395-234B-B9AB-792F4283DD31}" name="2305-3h-5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3h/0_Initial/2305-3h-5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1" xr16:uid="{FBECD74E-AC35-8141-8D7D-A513A803D114}" name="2305-45m-1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3_W1d/2305-45m-1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2" xr16:uid="{31942EC9-A696-BB43-AB46-E77BE7E94D70}" name="2305-45m-1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2_W30m/2305-45m-1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3" xr16:uid="{C35C8DFE-E5EE-FD47-8863-6D08FADD05A0}" name="2305-45m-1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1_Desiccation/2305-45m-1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4" xr16:uid="{8E9D13AD-2688-DF44-8238-4917BD10C068}" name="2305-45m-1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0_Initial/2305-45m-1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5" xr16:uid="{155C7629-C629-194D-A193-D11B8B073311}" name="2305-45m-2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3_W1d/2305-45m-2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6" xr16:uid="{69EB9FB6-00CD-FB4C-B09D-08979B00DA8D}" name="2305-45m-2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2_W30m/2305-45m-2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7" xr16:uid="{F0CB7D78-5E02-D745-A959-111399504CFC}" name="2305-45m-2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1_Desiccation/2305-45m-2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8" xr16:uid="{53FBEA88-9B6D-EE41-A868-AA00F536CF78}" name="2305-45m-2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0_Initial/2305-45m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9" xr16:uid="{9A6C0A5B-FCF8-7F4A-8E77-3E393B3AB3F5}" name="2305-45m-3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3_W1d/2305-45m-3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0" xr16:uid="{7B29B12D-8BCD-DE4C-BBA7-06C57FD88E36}" name="2305-45m-3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2_W30m/2305-45m-3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1" xr16:uid="{CF8DD3AC-9922-4442-9F17-CB166E88F1C7}" name="2305-45m-3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1_Desiccation/2305-45m-3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2" xr16:uid="{7664D964-B584-1F42-AA0B-BA64917E08E1}" name="2305-45m-3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0_Initial/2305-45m-3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3" xr16:uid="{8FB7F9EE-7B90-1143-AEF4-62FBF78EFC3B}" name="2305-45m-4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3_W1d/2305-45m-4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4" xr16:uid="{74F4CB03-C556-6F4B-BE59-72E6A1C7FDFB}" name="2305-45m-4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2_W30m/2305-45m-4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5" xr16:uid="{03A9BA52-E496-5E49-B51F-B0A9C4BAE8D5}" name="2305-45m-4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1_Desiccation/2305-45m-4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6" xr16:uid="{2FECCA7D-13BD-A344-BD1D-4ECFEE9374C2}" name="2305-45m-4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0_Initial/2305-45m-4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7" xr16:uid="{5ED484AC-21AF-B94C-88AB-C98D71DF574A}" name="2305-45m-5-d-w30m-w1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3_W1d/2305-45m-5-d-w30m-w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8" xr16:uid="{03177C4A-E724-EA4D-BFCC-5BBC3D9C1050}" name="2305-45m-5-d-w30m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2_W30m/2305-45m-5-d-w30m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9" xr16:uid="{688A5C7A-E1E6-E947-897E-FD73382E1EF1}" name="2305-45m-5-d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1_Desiccation/2305-45m-5-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0" xr16:uid="{1E73755B-DC97-FF4E-BC41-FC0F804A7DCE}" name="2305-45m-51" type="6" refreshedVersion="8" background="1" saveData="1">
    <textPr codePage="10001" sourceFile="/Users/teradaryuuta_iMac2016/Dropbox/Terada_DATA_2023/1_Project/Ulva_Umbraulva_study_Nagashima/Ulva_lacinulata_アオサリカ/5_PAM_Desiccation_20˚C_50%Humidity_20230520_乾燥耐性/45m/0_Initial/2305-45m-5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<sst xmlns="http://schemas.openxmlformats.org/spreadsheetml/2006/main" count="505" uniqueCount="70">
  <si>
    <t>Status</t>
    <phoneticPr fontId="1"/>
  </si>
  <si>
    <t>Min</t>
    <phoneticPr fontId="1"/>
  </si>
  <si>
    <t>#</t>
    <phoneticPr fontId="1"/>
  </si>
  <si>
    <t>Initial</t>
    <phoneticPr fontId="1"/>
  </si>
  <si>
    <t>0m-1</t>
    <phoneticPr fontId="1"/>
  </si>
  <si>
    <t>0m-2</t>
    <phoneticPr fontId="1"/>
  </si>
  <si>
    <t>0m-3</t>
    <phoneticPr fontId="1"/>
  </si>
  <si>
    <t>0m-4</t>
    <phoneticPr fontId="1"/>
  </si>
  <si>
    <t>0m-5</t>
    <phoneticPr fontId="1"/>
  </si>
  <si>
    <t>Date</t>
  </si>
  <si>
    <t>Time</t>
  </si>
  <si>
    <t>Y(II)1</t>
  </si>
  <si>
    <t>Y(II)2</t>
  </si>
  <si>
    <t>Y(II)3</t>
  </si>
  <si>
    <t>Y(II)4</t>
  </si>
  <si>
    <t>Y(II)5</t>
  </si>
  <si>
    <t>Y(II)6</t>
  </si>
  <si>
    <t>Y(II)7</t>
  </si>
  <si>
    <t>Y(II)8</t>
  </si>
  <si>
    <t>Y(II)9</t>
  </si>
  <si>
    <t>Y(II)10</t>
  </si>
  <si>
    <t>10m-1</t>
    <phoneticPr fontId="1"/>
  </si>
  <si>
    <t>10m-2</t>
    <phoneticPr fontId="1"/>
  </si>
  <si>
    <t>10m-3</t>
    <phoneticPr fontId="1"/>
  </si>
  <si>
    <t>10m-4</t>
    <phoneticPr fontId="1"/>
  </si>
  <si>
    <t>10m-5</t>
    <phoneticPr fontId="1"/>
  </si>
  <si>
    <t>30m-1</t>
    <phoneticPr fontId="1"/>
  </si>
  <si>
    <t>30m-2</t>
    <phoneticPr fontId="1"/>
  </si>
  <si>
    <t>30m-3</t>
    <phoneticPr fontId="1"/>
  </si>
  <si>
    <t>30m-4</t>
    <phoneticPr fontId="1"/>
  </si>
  <si>
    <t>30m-5</t>
    <phoneticPr fontId="1"/>
  </si>
  <si>
    <t>1h-1</t>
    <phoneticPr fontId="1"/>
  </si>
  <si>
    <t>1h-2</t>
    <phoneticPr fontId="1"/>
  </si>
  <si>
    <t>1h-3</t>
    <phoneticPr fontId="1"/>
  </si>
  <si>
    <t>1h-4</t>
    <phoneticPr fontId="1"/>
  </si>
  <si>
    <t>1h-5</t>
    <phoneticPr fontId="1"/>
  </si>
  <si>
    <t>2h-1</t>
    <phoneticPr fontId="1"/>
  </si>
  <si>
    <t>2h-2</t>
    <phoneticPr fontId="1"/>
  </si>
  <si>
    <t>2h-3</t>
    <phoneticPr fontId="1"/>
  </si>
  <si>
    <t>2h-4</t>
    <phoneticPr fontId="1"/>
  </si>
  <si>
    <t>2h-5</t>
    <phoneticPr fontId="1"/>
  </si>
  <si>
    <t>3h-1</t>
    <phoneticPr fontId="1"/>
  </si>
  <si>
    <t>3h-2</t>
    <phoneticPr fontId="1"/>
  </si>
  <si>
    <t>3h-3</t>
    <phoneticPr fontId="1"/>
  </si>
  <si>
    <t>3h-4</t>
    <phoneticPr fontId="1"/>
  </si>
  <si>
    <t>3h-5</t>
    <phoneticPr fontId="1"/>
  </si>
  <si>
    <t>Desiccation</t>
    <phoneticPr fontId="1"/>
  </si>
  <si>
    <t>30-min rehydration</t>
    <phoneticPr fontId="1"/>
  </si>
  <si>
    <t>1-d rehydration</t>
    <phoneticPr fontId="1"/>
  </si>
  <si>
    <t>mean</t>
    <phoneticPr fontId="1"/>
  </si>
  <si>
    <t>SD</t>
    <phoneticPr fontId="1"/>
  </si>
  <si>
    <t>YII mean (N=50)</t>
    <phoneticPr fontId="1"/>
  </si>
  <si>
    <t>Initial FreshW</t>
    <phoneticPr fontId="1"/>
  </si>
  <si>
    <t>Fresh W at esiccation</t>
    <phoneticPr fontId="1"/>
  </si>
  <si>
    <t>Foil W</t>
    <phoneticPr fontId="1"/>
  </si>
  <si>
    <t>Fil + Sample W</t>
    <phoneticPr fontId="1"/>
  </si>
  <si>
    <t>Dry W g</t>
    <phoneticPr fontId="1"/>
  </si>
  <si>
    <t>Absolute Water Content %</t>
    <phoneticPr fontId="1"/>
  </si>
  <si>
    <t>20.05.23</t>
  </si>
  <si>
    <t>20m-1</t>
    <phoneticPr fontId="1"/>
  </si>
  <si>
    <t>20m-2</t>
    <phoneticPr fontId="1"/>
  </si>
  <si>
    <t>20m-3</t>
    <phoneticPr fontId="1"/>
  </si>
  <si>
    <t>20m-4</t>
    <phoneticPr fontId="1"/>
  </si>
  <si>
    <t>20m-5</t>
    <phoneticPr fontId="1"/>
  </si>
  <si>
    <t>45m-1</t>
    <phoneticPr fontId="1"/>
  </si>
  <si>
    <t>45m-2</t>
    <phoneticPr fontId="1"/>
  </si>
  <si>
    <t>45m-3</t>
    <phoneticPr fontId="1"/>
  </si>
  <si>
    <t>45m-4</t>
    <phoneticPr fontId="1"/>
  </si>
  <si>
    <t>45m-5</t>
    <phoneticPr fontId="1"/>
  </si>
  <si>
    <t>21.05.23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</si>
</sst>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3" x14ac:knownFonts="1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21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>
      <alignment vertical="center"/>
    </xf>
    <xf numFmtId="165" fontId="2" fillId="0" borderId="0" xfId="0" applyNumberFormat="1" applyFont="1">
      <alignment vertical="center"/>
    </xf>
    <xf numFmtId="166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21" fontId="2" fillId="2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Dataset_analysis!$S$43:$S$82</c:f>
                <c:numCache>
                  <c:formatCode>General</c:formatCode>
                  <c:ptCount val="40"/>
                  <c:pt idx="0">
                    <c:v>5.9236812878479435E-3</c:v>
                  </c:pt>
                  <c:pt idx="1">
                    <c:v>1.418590850104428E-2</c:v>
                  </c:pt>
                  <c:pt idx="2">
                    <c:v>1.0169070754006984E-2</c:v>
                  </c:pt>
                  <c:pt idx="3">
                    <c:v>1.9488458122694074E-2</c:v>
                  </c:pt>
                  <c:pt idx="4">
                    <c:v>1.2993844696624641E-2</c:v>
                  </c:pt>
                  <c:pt idx="5">
                    <c:v>1.6141871019184826E-2</c:v>
                  </c:pt>
                  <c:pt idx="6">
                    <c:v>1.2657408897558786E-2</c:v>
                  </c:pt>
                  <c:pt idx="7">
                    <c:v>1.4624978632463035E-2</c:v>
                  </c:pt>
                  <c:pt idx="8">
                    <c:v>1.3302631318652725E-2</c:v>
                  </c:pt>
                  <c:pt idx="9">
                    <c:v>2.4482851141155906E-2</c:v>
                  </c:pt>
                  <c:pt idx="10">
                    <c:v>0.16114651718234596</c:v>
                  </c:pt>
                  <c:pt idx="11">
                    <c:v>3.7166651718980551E-2</c:v>
                  </c:pt>
                  <c:pt idx="12">
                    <c:v>5.0784741803025835E-2</c:v>
                  </c:pt>
                  <c:pt idx="13">
                    <c:v>4.6942091985764739E-2</c:v>
                  </c:pt>
                  <c:pt idx="14">
                    <c:v>7.2088903445675909E-2</c:v>
                  </c:pt>
                  <c:pt idx="15">
                    <c:v>0.17186320141321698</c:v>
                  </c:pt>
                  <c:pt idx="16">
                    <c:v>8.9587331693717062E-2</c:v>
                  </c:pt>
                  <c:pt idx="17">
                    <c:v>0.14925347567142269</c:v>
                  </c:pt>
                  <c:pt idx="18">
                    <c:v>0.1986686688937136</c:v>
                  </c:pt>
                  <c:pt idx="19">
                    <c:v>0.14949100307376359</c:v>
                  </c:pt>
                  <c:pt idx="20">
                    <c:v>7.9589949114194106E-2</c:v>
                  </c:pt>
                  <c:pt idx="21">
                    <c:v>4.8324010595148244E-2</c:v>
                  </c:pt>
                  <c:pt idx="22">
                    <c:v>6.1768600437439113E-2</c:v>
                  </c:pt>
                  <c:pt idx="23">
                    <c:v>0.15449559864280912</c:v>
                  </c:pt>
                  <c:pt idx="24">
                    <c:v>1.6613247725836205E-2</c:v>
                  </c:pt>
                  <c:pt idx="25">
                    <c:v>2.6171740484728933E-2</c:v>
                  </c:pt>
                  <c:pt idx="26">
                    <c:v>2.1428952377566177E-2</c:v>
                  </c:pt>
                  <c:pt idx="27">
                    <c:v>1.8127603261324978E-2</c:v>
                  </c:pt>
                  <c:pt idx="28">
                    <c:v>1.9894974239742059E-2</c:v>
                  </c:pt>
                  <c:pt idx="29">
                    <c:v>1.4945233353815522E-2</c:v>
                  </c:pt>
                  <c:pt idx="30">
                    <c:v>7.5637292389402573E-3</c:v>
                  </c:pt>
                  <c:pt idx="31">
                    <c:v>1.4520330574749321E-2</c:v>
                  </c:pt>
                  <c:pt idx="32">
                    <c:v>6.5604877867426904E-3</c:v>
                  </c:pt>
                  <c:pt idx="33">
                    <c:v>2.6457513110645903E-3</c:v>
                  </c:pt>
                  <c:pt idx="34">
                    <c:v>1.3342038824707414E-2</c:v>
                  </c:pt>
                  <c:pt idx="35">
                    <c:v>1.1698290473398241E-2</c:v>
                  </c:pt>
                  <c:pt idx="36">
                    <c:v>0</c:v>
                  </c:pt>
                  <c:pt idx="37">
                    <c:v>2.0535091916034851E-2</c:v>
                  </c:pt>
                  <c:pt idx="38">
                    <c:v>0</c:v>
                  </c:pt>
                  <c:pt idx="39">
                    <c:v>1.3431678971744375E-2</c:v>
                  </c:pt>
                </c:numCache>
              </c:numRef>
            </c:plus>
            <c:minus>
              <c:numRef>
                <c:f>Dataset_analysis!$S$43:$S$82</c:f>
                <c:numCache>
                  <c:formatCode>General</c:formatCode>
                  <c:ptCount val="40"/>
                  <c:pt idx="0">
                    <c:v>5.9236812878479435E-3</c:v>
                  </c:pt>
                  <c:pt idx="1">
                    <c:v>1.418590850104428E-2</c:v>
                  </c:pt>
                  <c:pt idx="2">
                    <c:v>1.0169070754006984E-2</c:v>
                  </c:pt>
                  <c:pt idx="3">
                    <c:v>1.9488458122694074E-2</c:v>
                  </c:pt>
                  <c:pt idx="4">
                    <c:v>1.2993844696624641E-2</c:v>
                  </c:pt>
                  <c:pt idx="5">
                    <c:v>1.6141871019184826E-2</c:v>
                  </c:pt>
                  <c:pt idx="6">
                    <c:v>1.2657408897558786E-2</c:v>
                  </c:pt>
                  <c:pt idx="7">
                    <c:v>1.4624978632463035E-2</c:v>
                  </c:pt>
                  <c:pt idx="8">
                    <c:v>1.3302631318652725E-2</c:v>
                  </c:pt>
                  <c:pt idx="9">
                    <c:v>2.4482851141155906E-2</c:v>
                  </c:pt>
                  <c:pt idx="10">
                    <c:v>0.16114651718234596</c:v>
                  </c:pt>
                  <c:pt idx="11">
                    <c:v>3.7166651718980551E-2</c:v>
                  </c:pt>
                  <c:pt idx="12">
                    <c:v>5.0784741803025835E-2</c:v>
                  </c:pt>
                  <c:pt idx="13">
                    <c:v>4.6942091985764739E-2</c:v>
                  </c:pt>
                  <c:pt idx="14">
                    <c:v>7.2088903445675909E-2</c:v>
                  </c:pt>
                  <c:pt idx="15">
                    <c:v>0.17186320141321698</c:v>
                  </c:pt>
                  <c:pt idx="16">
                    <c:v>8.9587331693717062E-2</c:v>
                  </c:pt>
                  <c:pt idx="17">
                    <c:v>0.14925347567142269</c:v>
                  </c:pt>
                  <c:pt idx="18">
                    <c:v>0.1986686688937136</c:v>
                  </c:pt>
                  <c:pt idx="19">
                    <c:v>0.14949100307376359</c:v>
                  </c:pt>
                  <c:pt idx="20">
                    <c:v>7.9589949114194106E-2</c:v>
                  </c:pt>
                  <c:pt idx="21">
                    <c:v>4.8324010595148244E-2</c:v>
                  </c:pt>
                  <c:pt idx="22">
                    <c:v>6.1768600437439113E-2</c:v>
                  </c:pt>
                  <c:pt idx="23">
                    <c:v>0.15449559864280912</c:v>
                  </c:pt>
                  <c:pt idx="24">
                    <c:v>1.6613247725836205E-2</c:v>
                  </c:pt>
                  <c:pt idx="25">
                    <c:v>2.6171740484728933E-2</c:v>
                  </c:pt>
                  <c:pt idx="26">
                    <c:v>2.1428952377566177E-2</c:v>
                  </c:pt>
                  <c:pt idx="27">
                    <c:v>1.8127603261324978E-2</c:v>
                  </c:pt>
                  <c:pt idx="28">
                    <c:v>1.9894974239742059E-2</c:v>
                  </c:pt>
                  <c:pt idx="29">
                    <c:v>1.4945233353815522E-2</c:v>
                  </c:pt>
                  <c:pt idx="30">
                    <c:v>7.5637292389402573E-3</c:v>
                  </c:pt>
                  <c:pt idx="31">
                    <c:v>1.4520330574749321E-2</c:v>
                  </c:pt>
                  <c:pt idx="32">
                    <c:v>6.5604877867426904E-3</c:v>
                  </c:pt>
                  <c:pt idx="33">
                    <c:v>2.6457513110645903E-3</c:v>
                  </c:pt>
                  <c:pt idx="34">
                    <c:v>1.3342038824707414E-2</c:v>
                  </c:pt>
                  <c:pt idx="35">
                    <c:v>1.1698290473398241E-2</c:v>
                  </c:pt>
                  <c:pt idx="36">
                    <c:v>0</c:v>
                  </c:pt>
                  <c:pt idx="37">
                    <c:v>2.0535091916034851E-2</c:v>
                  </c:pt>
                  <c:pt idx="38">
                    <c:v>0</c:v>
                  </c:pt>
                  <c:pt idx="39">
                    <c:v>1.3431678971744375E-2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Dataset_analysis!$AA$43:$AA$82</c:f>
              <c:numCache>
                <c:formatCode>0.0</c:formatCode>
                <c:ptCount val="4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71.604938271604937</c:v>
                </c:pt>
                <c:pt idx="6">
                  <c:v>74.623115577889436</c:v>
                </c:pt>
                <c:pt idx="7">
                  <c:v>56.521739130434845</c:v>
                </c:pt>
                <c:pt idx="8">
                  <c:v>71.64948453608244</c:v>
                </c:pt>
                <c:pt idx="9">
                  <c:v>78.553615960099762</c:v>
                </c:pt>
                <c:pt idx="10">
                  <c:v>39.069767441860456</c:v>
                </c:pt>
                <c:pt idx="11">
                  <c:v>43.5233160621761</c:v>
                </c:pt>
                <c:pt idx="12">
                  <c:v>51.155115511551152</c:v>
                </c:pt>
                <c:pt idx="13">
                  <c:v>46.24999999999995</c:v>
                </c:pt>
                <c:pt idx="14">
                  <c:v>47.97047970479705</c:v>
                </c:pt>
                <c:pt idx="15">
                  <c:v>34.55882352941174</c:v>
                </c:pt>
                <c:pt idx="16">
                  <c:v>44.800000000000004</c:v>
                </c:pt>
                <c:pt idx="17">
                  <c:v>29.850746268656742</c:v>
                </c:pt>
                <c:pt idx="18">
                  <c:v>33.695652173913011</c:v>
                </c:pt>
                <c:pt idx="19">
                  <c:v>27.683615819209017</c:v>
                </c:pt>
                <c:pt idx="20">
                  <c:v>19.819819819819813</c:v>
                </c:pt>
                <c:pt idx="21">
                  <c:v>13.733905579399142</c:v>
                </c:pt>
                <c:pt idx="22">
                  <c:v>14.197530864197585</c:v>
                </c:pt>
                <c:pt idx="23">
                  <c:v>32.732732732732714</c:v>
                </c:pt>
                <c:pt idx="24">
                  <c:v>11.11111111111112</c:v>
                </c:pt>
                <c:pt idx="25">
                  <c:v>10.714285714285712</c:v>
                </c:pt>
                <c:pt idx="26">
                  <c:v>11.372549019607824</c:v>
                </c:pt>
                <c:pt idx="27">
                  <c:v>7.1428571428571814</c:v>
                </c:pt>
                <c:pt idx="28">
                  <c:v>7.0422535211267405</c:v>
                </c:pt>
                <c:pt idx="29">
                  <c:v>8.8888888888889515</c:v>
                </c:pt>
                <c:pt idx="30">
                  <c:v>10.796460176991191</c:v>
                </c:pt>
                <c:pt idx="31">
                  <c:v>25.268817204301076</c:v>
                </c:pt>
                <c:pt idx="32">
                  <c:v>8.9285714285713986</c:v>
                </c:pt>
                <c:pt idx="33">
                  <c:v>11.724137931034557</c:v>
                </c:pt>
                <c:pt idx="34">
                  <c:v>8.3601286173632925</c:v>
                </c:pt>
                <c:pt idx="35">
                  <c:v>10.227272727272698</c:v>
                </c:pt>
                <c:pt idx="36">
                  <c:v>8.3094555873925451</c:v>
                </c:pt>
                <c:pt idx="37">
                  <c:v>9.4202898550724932</c:v>
                </c:pt>
                <c:pt idx="38">
                  <c:v>7.142857142857145</c:v>
                </c:pt>
                <c:pt idx="39">
                  <c:v>8.6419753086419657</c:v>
                </c:pt>
              </c:numCache>
            </c:numRef>
          </c:xVal>
          <c:yVal>
            <c:numRef>
              <c:f>Dataset_analysis!$R$43:$R$82</c:f>
              <c:numCache>
                <c:formatCode>0.000</c:formatCode>
                <c:ptCount val="40"/>
                <c:pt idx="0">
                  <c:v>0.67910000000000004</c:v>
                </c:pt>
                <c:pt idx="1">
                  <c:v>0.6614000000000001</c:v>
                </c:pt>
                <c:pt idx="2">
                  <c:v>0.65429999999999988</c:v>
                </c:pt>
                <c:pt idx="3">
                  <c:v>0.63600000000000012</c:v>
                </c:pt>
                <c:pt idx="4">
                  <c:v>0.66260000000000008</c:v>
                </c:pt>
                <c:pt idx="5">
                  <c:v>0.68820000000000003</c:v>
                </c:pt>
                <c:pt idx="6">
                  <c:v>0.66530000000000011</c:v>
                </c:pt>
                <c:pt idx="7">
                  <c:v>0.64689999999999992</c:v>
                </c:pt>
                <c:pt idx="8">
                  <c:v>0.64419999999999999</c:v>
                </c:pt>
                <c:pt idx="9">
                  <c:v>0.67930000000000013</c:v>
                </c:pt>
                <c:pt idx="10">
                  <c:v>0.53499999999999992</c:v>
                </c:pt>
                <c:pt idx="11">
                  <c:v>0.59520000000000006</c:v>
                </c:pt>
                <c:pt idx="12">
                  <c:v>0.62290000000000001</c:v>
                </c:pt>
                <c:pt idx="13">
                  <c:v>0.56920000000000004</c:v>
                </c:pt>
                <c:pt idx="14">
                  <c:v>0.56770000000000009</c:v>
                </c:pt>
                <c:pt idx="15">
                  <c:v>0.37479999999999997</c:v>
                </c:pt>
                <c:pt idx="16">
                  <c:v>0.5220999999999999</c:v>
                </c:pt>
                <c:pt idx="17">
                  <c:v>0.39900000000000002</c:v>
                </c:pt>
                <c:pt idx="18">
                  <c:v>0.35039999999999999</c:v>
                </c:pt>
                <c:pt idx="19">
                  <c:v>0.21280000000000002</c:v>
                </c:pt>
                <c:pt idx="20">
                  <c:v>0.12619999999999998</c:v>
                </c:pt>
                <c:pt idx="21">
                  <c:v>8.4699999999999998E-2</c:v>
                </c:pt>
                <c:pt idx="22">
                  <c:v>0.11779999999999999</c:v>
                </c:pt>
                <c:pt idx="23">
                  <c:v>0.41290000000000004</c:v>
                </c:pt>
                <c:pt idx="24">
                  <c:v>7.3999999999999982E-2</c:v>
                </c:pt>
                <c:pt idx="25">
                  <c:v>5.6200000000000007E-2</c:v>
                </c:pt>
                <c:pt idx="26">
                  <c:v>5.2000000000000005E-2</c:v>
                </c:pt>
                <c:pt idx="27">
                  <c:v>2.47E-2</c:v>
                </c:pt>
                <c:pt idx="28">
                  <c:v>2.23E-2</c:v>
                </c:pt>
                <c:pt idx="29">
                  <c:v>4.0800000000000003E-2</c:v>
                </c:pt>
                <c:pt idx="30">
                  <c:v>5.2299999999999999E-2</c:v>
                </c:pt>
                <c:pt idx="31">
                  <c:v>2.8400000000000002E-2</c:v>
                </c:pt>
                <c:pt idx="32">
                  <c:v>5.16E-2</c:v>
                </c:pt>
                <c:pt idx="33">
                  <c:v>3.3000000000000008E-2</c:v>
                </c:pt>
                <c:pt idx="34">
                  <c:v>8.6999999999999994E-3</c:v>
                </c:pt>
                <c:pt idx="35">
                  <c:v>9.4999999999999998E-3</c:v>
                </c:pt>
                <c:pt idx="36">
                  <c:v>0</c:v>
                </c:pt>
                <c:pt idx="37">
                  <c:v>2.01E-2</c:v>
                </c:pt>
                <c:pt idx="38">
                  <c:v>0</c:v>
                </c:pt>
                <c:pt idx="39">
                  <c:v>8.6999999999999994E-3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E-754A-AB6C-5315F1662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876496"/>
        <c:axId val="1121830608"/>
      </c:scatterChart>
      <c:valAx>
        <c:axId val="1121876496"/>
        <c:scaling>
          <c:orientation val="minMax"/>
          <c:max val="100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21830608"/>
        <c:crosses val="autoZero"/>
        <c:crossBetween val="midCat"/>
      </c:valAx>
      <c:valAx>
        <c:axId val="1121830608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2187649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Dataset_analysis!$S$84:$S$123</c:f>
                <c:numCache>
                  <c:formatCode>General</c:formatCode>
                  <c:ptCount val="40"/>
                  <c:pt idx="0">
                    <c:v>5.9363288318623371E-3</c:v>
                  </c:pt>
                  <c:pt idx="1">
                    <c:v>1.2833160171991922E-2</c:v>
                  </c:pt>
                  <c:pt idx="2">
                    <c:v>1.6871277367170527E-2</c:v>
                  </c:pt>
                  <c:pt idx="3">
                    <c:v>1.0316976301223153E-2</c:v>
                  </c:pt>
                  <c:pt idx="4">
                    <c:v>9.4556861200020895E-3</c:v>
                  </c:pt>
                  <c:pt idx="5">
                    <c:v>7.6576758876306366E-3</c:v>
                  </c:pt>
                  <c:pt idx="6">
                    <c:v>1.0601886624558866E-2</c:v>
                  </c:pt>
                  <c:pt idx="7">
                    <c:v>4.9959983987186993E-3</c:v>
                  </c:pt>
                  <c:pt idx="8">
                    <c:v>1.669251329189228E-2</c:v>
                  </c:pt>
                  <c:pt idx="9">
                    <c:v>1.7323105957073606E-2</c:v>
                  </c:pt>
                  <c:pt idx="10">
                    <c:v>0.25333266666578952</c:v>
                  </c:pt>
                  <c:pt idx="11">
                    <c:v>0.17295227665457322</c:v>
                  </c:pt>
                  <c:pt idx="12">
                    <c:v>1.4235167719419409E-2</c:v>
                  </c:pt>
                  <c:pt idx="13">
                    <c:v>2.7958719570109078E-2</c:v>
                  </c:pt>
                  <c:pt idx="14">
                    <c:v>3.2641078413557387E-2</c:v>
                  </c:pt>
                  <c:pt idx="15">
                    <c:v>0.17516437994067188</c:v>
                  </c:pt>
                  <c:pt idx="16">
                    <c:v>3.4993713721181423E-2</c:v>
                  </c:pt>
                  <c:pt idx="17">
                    <c:v>0.21820882200314443</c:v>
                  </c:pt>
                  <c:pt idx="18">
                    <c:v>4.4122669910149369E-2</c:v>
                  </c:pt>
                  <c:pt idx="19">
                    <c:v>0.1578597162039764</c:v>
                  </c:pt>
                  <c:pt idx="20">
                    <c:v>0.24271884970063604</c:v>
                  </c:pt>
                  <c:pt idx="21">
                    <c:v>0</c:v>
                  </c:pt>
                  <c:pt idx="22">
                    <c:v>0.27342693722455363</c:v>
                  </c:pt>
                  <c:pt idx="23">
                    <c:v>8.8646996565027905E-2</c:v>
                  </c:pt>
                  <c:pt idx="24">
                    <c:v>1.4064138793399329E-2</c:v>
                  </c:pt>
                  <c:pt idx="25">
                    <c:v>4.7100000000000003E-2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</c:numCache>
              </c:numRef>
            </c:plus>
            <c:minus>
              <c:numRef>
                <c:f>Dataset_analysis!$S$84:$S$123</c:f>
                <c:numCache>
                  <c:formatCode>General</c:formatCode>
                  <c:ptCount val="40"/>
                  <c:pt idx="0">
                    <c:v>5.9363288318623371E-3</c:v>
                  </c:pt>
                  <c:pt idx="1">
                    <c:v>1.2833160171991922E-2</c:v>
                  </c:pt>
                  <c:pt idx="2">
                    <c:v>1.6871277367170527E-2</c:v>
                  </c:pt>
                  <c:pt idx="3">
                    <c:v>1.0316976301223153E-2</c:v>
                  </c:pt>
                  <c:pt idx="4">
                    <c:v>9.4556861200020895E-3</c:v>
                  </c:pt>
                  <c:pt idx="5">
                    <c:v>7.6576758876306366E-3</c:v>
                  </c:pt>
                  <c:pt idx="6">
                    <c:v>1.0601886624558866E-2</c:v>
                  </c:pt>
                  <c:pt idx="7">
                    <c:v>4.9959983987186993E-3</c:v>
                  </c:pt>
                  <c:pt idx="8">
                    <c:v>1.669251329189228E-2</c:v>
                  </c:pt>
                  <c:pt idx="9">
                    <c:v>1.7323105957073606E-2</c:v>
                  </c:pt>
                  <c:pt idx="10">
                    <c:v>0.25333266666578952</c:v>
                  </c:pt>
                  <c:pt idx="11">
                    <c:v>0.17295227665457322</c:v>
                  </c:pt>
                  <c:pt idx="12">
                    <c:v>1.4235167719419409E-2</c:v>
                  </c:pt>
                  <c:pt idx="13">
                    <c:v>2.7958719570109078E-2</c:v>
                  </c:pt>
                  <c:pt idx="14">
                    <c:v>3.2641078413557387E-2</c:v>
                  </c:pt>
                  <c:pt idx="15">
                    <c:v>0.17516437994067188</c:v>
                  </c:pt>
                  <c:pt idx="16">
                    <c:v>3.4993713721181423E-2</c:v>
                  </c:pt>
                  <c:pt idx="17">
                    <c:v>0.21820882200314443</c:v>
                  </c:pt>
                  <c:pt idx="18">
                    <c:v>4.4122669910149369E-2</c:v>
                  </c:pt>
                  <c:pt idx="19">
                    <c:v>0.1578597162039764</c:v>
                  </c:pt>
                  <c:pt idx="20">
                    <c:v>0.24271884970063604</c:v>
                  </c:pt>
                  <c:pt idx="21">
                    <c:v>0</c:v>
                  </c:pt>
                  <c:pt idx="22">
                    <c:v>0.27342693722455363</c:v>
                  </c:pt>
                  <c:pt idx="23">
                    <c:v>8.8646996565027905E-2</c:v>
                  </c:pt>
                  <c:pt idx="24">
                    <c:v>1.4064138793399329E-2</c:v>
                  </c:pt>
                  <c:pt idx="25">
                    <c:v>4.7100000000000003E-2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Dataset_analysis!$AA$84:$AA$123</c:f>
              <c:numCache>
                <c:formatCode>0.0</c:formatCode>
                <c:ptCount val="4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71.604938271604937</c:v>
                </c:pt>
                <c:pt idx="6">
                  <c:v>74.623115577889436</c:v>
                </c:pt>
                <c:pt idx="7">
                  <c:v>56.521739130434845</c:v>
                </c:pt>
                <c:pt idx="8">
                  <c:v>71.64948453608244</c:v>
                </c:pt>
                <c:pt idx="9">
                  <c:v>78.553615960099762</c:v>
                </c:pt>
                <c:pt idx="10">
                  <c:v>39.069767441860456</c:v>
                </c:pt>
                <c:pt idx="11">
                  <c:v>43.5233160621761</c:v>
                </c:pt>
                <c:pt idx="12">
                  <c:v>51.155115511551152</c:v>
                </c:pt>
                <c:pt idx="13">
                  <c:v>46.24999999999995</c:v>
                </c:pt>
                <c:pt idx="14">
                  <c:v>47.97047970479705</c:v>
                </c:pt>
                <c:pt idx="15">
                  <c:v>34.55882352941174</c:v>
                </c:pt>
                <c:pt idx="16">
                  <c:v>44.800000000000004</c:v>
                </c:pt>
                <c:pt idx="17">
                  <c:v>29.850746268656742</c:v>
                </c:pt>
                <c:pt idx="18">
                  <c:v>33.695652173913011</c:v>
                </c:pt>
                <c:pt idx="19">
                  <c:v>27.683615819209017</c:v>
                </c:pt>
                <c:pt idx="20">
                  <c:v>19.819819819819813</c:v>
                </c:pt>
                <c:pt idx="21">
                  <c:v>13.733905579399142</c:v>
                </c:pt>
                <c:pt idx="22">
                  <c:v>14.197530864197585</c:v>
                </c:pt>
                <c:pt idx="23">
                  <c:v>32.732732732732714</c:v>
                </c:pt>
                <c:pt idx="24">
                  <c:v>11.11111111111112</c:v>
                </c:pt>
                <c:pt idx="25">
                  <c:v>10.714285714285712</c:v>
                </c:pt>
                <c:pt idx="26">
                  <c:v>11.372549019607824</c:v>
                </c:pt>
                <c:pt idx="27">
                  <c:v>7.1428571428571814</c:v>
                </c:pt>
                <c:pt idx="28">
                  <c:v>7.0422535211267405</c:v>
                </c:pt>
                <c:pt idx="29">
                  <c:v>8.8888888888889515</c:v>
                </c:pt>
                <c:pt idx="30">
                  <c:v>10.796460176991191</c:v>
                </c:pt>
                <c:pt idx="31">
                  <c:v>25.268817204301076</c:v>
                </c:pt>
                <c:pt idx="32">
                  <c:v>8.9285714285713986</c:v>
                </c:pt>
                <c:pt idx="33">
                  <c:v>11.724137931034557</c:v>
                </c:pt>
                <c:pt idx="34">
                  <c:v>8.3601286173632925</c:v>
                </c:pt>
                <c:pt idx="35">
                  <c:v>10.227272727272698</c:v>
                </c:pt>
                <c:pt idx="36">
                  <c:v>8.3094555873925451</c:v>
                </c:pt>
                <c:pt idx="37">
                  <c:v>9.4202898550724932</c:v>
                </c:pt>
                <c:pt idx="38">
                  <c:v>7.142857142857145</c:v>
                </c:pt>
                <c:pt idx="39">
                  <c:v>8.6419753086419657</c:v>
                </c:pt>
              </c:numCache>
            </c:numRef>
          </c:xVal>
          <c:yVal>
            <c:numRef>
              <c:f>Dataset_analysis!$R$84:$R$123</c:f>
              <c:numCache>
                <c:formatCode>0.000</c:formatCode>
                <c:ptCount val="40"/>
                <c:pt idx="0">
                  <c:v>0.6644000000000001</c:v>
                </c:pt>
                <c:pt idx="1">
                  <c:v>0.66290000000000016</c:v>
                </c:pt>
                <c:pt idx="2">
                  <c:v>0.66260000000000008</c:v>
                </c:pt>
                <c:pt idx="3">
                  <c:v>0.61740000000000017</c:v>
                </c:pt>
                <c:pt idx="4">
                  <c:v>0.66070000000000007</c:v>
                </c:pt>
                <c:pt idx="5">
                  <c:v>0.69140000000000001</c:v>
                </c:pt>
                <c:pt idx="6">
                  <c:v>0.66799999999999993</c:v>
                </c:pt>
                <c:pt idx="7">
                  <c:v>0.69379999999999986</c:v>
                </c:pt>
                <c:pt idx="8">
                  <c:v>0.64060000000000006</c:v>
                </c:pt>
                <c:pt idx="9">
                  <c:v>0.68009999999999993</c:v>
                </c:pt>
                <c:pt idx="10">
                  <c:v>0.44559999999999994</c:v>
                </c:pt>
                <c:pt idx="11">
                  <c:v>0.60309999999999997</c:v>
                </c:pt>
                <c:pt idx="12">
                  <c:v>0.66940000000000022</c:v>
                </c:pt>
                <c:pt idx="13">
                  <c:v>0.66810000000000014</c:v>
                </c:pt>
                <c:pt idx="14">
                  <c:v>0.63659999999999994</c:v>
                </c:pt>
                <c:pt idx="15">
                  <c:v>0.58979999999999999</c:v>
                </c:pt>
                <c:pt idx="16">
                  <c:v>0.6492</c:v>
                </c:pt>
                <c:pt idx="17">
                  <c:v>0.52489999999999992</c:v>
                </c:pt>
                <c:pt idx="18">
                  <c:v>0.66070000000000007</c:v>
                </c:pt>
                <c:pt idx="19">
                  <c:v>0.54889999999999994</c:v>
                </c:pt>
                <c:pt idx="20">
                  <c:v>0.37740000000000007</c:v>
                </c:pt>
                <c:pt idx="21">
                  <c:v>0</c:v>
                </c:pt>
                <c:pt idx="22">
                  <c:v>0.2339</c:v>
                </c:pt>
                <c:pt idx="23">
                  <c:v>0.63990000000000002</c:v>
                </c:pt>
                <c:pt idx="24">
                  <c:v>7.000000000000001E-3</c:v>
                </c:pt>
                <c:pt idx="25">
                  <c:v>1.5699999999999999E-2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04-7F42-8226-311F68914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876496"/>
        <c:axId val="1121830608"/>
      </c:scatterChart>
      <c:valAx>
        <c:axId val="1121876496"/>
        <c:scaling>
          <c:orientation val="minMax"/>
          <c:max val="100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21830608"/>
        <c:crosses val="autoZero"/>
        <c:crossBetween val="midCat"/>
      </c:valAx>
      <c:valAx>
        <c:axId val="1121830608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2187649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37166607489714"/>
          <c:y val="3.6733524355300862E-2"/>
          <c:w val="0.79773846571565821"/>
          <c:h val="0.875616045845272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Dataset_analysis!$S$125:$S$164</c:f>
                <c:numCache>
                  <c:formatCode>General</c:formatCode>
                  <c:ptCount val="40"/>
                  <c:pt idx="0">
                    <c:v>6.8234888436927571E-3</c:v>
                  </c:pt>
                  <c:pt idx="1">
                    <c:v>7.5339232807349514E-3</c:v>
                  </c:pt>
                  <c:pt idx="2">
                    <c:v>1.0613670430157525E-2</c:v>
                  </c:pt>
                  <c:pt idx="3">
                    <c:v>1.3836184445142393E-2</c:v>
                  </c:pt>
                  <c:pt idx="4">
                    <c:v>1.1618950038622259E-2</c:v>
                  </c:pt>
                  <c:pt idx="5">
                    <c:v>1.7453079957417236E-2</c:v>
                  </c:pt>
                  <c:pt idx="6">
                    <c:v>9.9879927913470272E-3</c:v>
                  </c:pt>
                  <c:pt idx="7">
                    <c:v>8.3450584180100075E-3</c:v>
                  </c:pt>
                  <c:pt idx="8">
                    <c:v>3.5574710118284898E-2</c:v>
                  </c:pt>
                  <c:pt idx="9">
                    <c:v>1.9032866310674277E-2</c:v>
                  </c:pt>
                  <c:pt idx="10">
                    <c:v>1.3414917070187216E-2</c:v>
                  </c:pt>
                  <c:pt idx="11">
                    <c:v>0.19216193691779865</c:v>
                  </c:pt>
                  <c:pt idx="12">
                    <c:v>6.3749509802036967E-3</c:v>
                  </c:pt>
                  <c:pt idx="13">
                    <c:v>1.4411453778158534E-2</c:v>
                  </c:pt>
                  <c:pt idx="14">
                    <c:v>1.9656042327996767E-2</c:v>
                  </c:pt>
                  <c:pt idx="15">
                    <c:v>1.4847221962373985E-2</c:v>
                  </c:pt>
                  <c:pt idx="16">
                    <c:v>1.7420964382031223E-2</c:v>
                  </c:pt>
                  <c:pt idx="17">
                    <c:v>0.25271240571052311</c:v>
                  </c:pt>
                  <c:pt idx="18">
                    <c:v>0.12687493842363057</c:v>
                  </c:pt>
                  <c:pt idx="19">
                    <c:v>0.26051333938975174</c:v>
                  </c:pt>
                  <c:pt idx="20">
                    <c:v>0.28483812947005538</c:v>
                  </c:pt>
                  <c:pt idx="21">
                    <c:v>0.29148509395850764</c:v>
                  </c:pt>
                  <c:pt idx="22">
                    <c:v>0.25400976359187449</c:v>
                  </c:pt>
                  <c:pt idx="23">
                    <c:v>0.16203012065662367</c:v>
                  </c:pt>
                  <c:pt idx="24">
                    <c:v>0</c:v>
                  </c:pt>
                  <c:pt idx="25">
                    <c:v>9.2699999999999991E-2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</c:numCache>
              </c:numRef>
            </c:plus>
            <c:minus>
              <c:numRef>
                <c:f>Dataset_analysis!$S$125:$S$164</c:f>
                <c:numCache>
                  <c:formatCode>General</c:formatCode>
                  <c:ptCount val="40"/>
                  <c:pt idx="0">
                    <c:v>6.8234888436927571E-3</c:v>
                  </c:pt>
                  <c:pt idx="1">
                    <c:v>7.5339232807349514E-3</c:v>
                  </c:pt>
                  <c:pt idx="2">
                    <c:v>1.0613670430157525E-2</c:v>
                  </c:pt>
                  <c:pt idx="3">
                    <c:v>1.3836184445142393E-2</c:v>
                  </c:pt>
                  <c:pt idx="4">
                    <c:v>1.1618950038622259E-2</c:v>
                  </c:pt>
                  <c:pt idx="5">
                    <c:v>1.7453079957417236E-2</c:v>
                  </c:pt>
                  <c:pt idx="6">
                    <c:v>9.9879927913470272E-3</c:v>
                  </c:pt>
                  <c:pt idx="7">
                    <c:v>8.3450584180100075E-3</c:v>
                  </c:pt>
                  <c:pt idx="8">
                    <c:v>3.5574710118284898E-2</c:v>
                  </c:pt>
                  <c:pt idx="9">
                    <c:v>1.9032866310674277E-2</c:v>
                  </c:pt>
                  <c:pt idx="10">
                    <c:v>1.3414917070187216E-2</c:v>
                  </c:pt>
                  <c:pt idx="11">
                    <c:v>0.19216193691779865</c:v>
                  </c:pt>
                  <c:pt idx="12">
                    <c:v>6.3749509802036967E-3</c:v>
                  </c:pt>
                  <c:pt idx="13">
                    <c:v>1.4411453778158534E-2</c:v>
                  </c:pt>
                  <c:pt idx="14">
                    <c:v>1.9656042327996767E-2</c:v>
                  </c:pt>
                  <c:pt idx="15">
                    <c:v>1.4847221962373985E-2</c:v>
                  </c:pt>
                  <c:pt idx="16">
                    <c:v>1.7420964382031223E-2</c:v>
                  </c:pt>
                  <c:pt idx="17">
                    <c:v>0.25271240571052311</c:v>
                  </c:pt>
                  <c:pt idx="18">
                    <c:v>0.12687493842363057</c:v>
                  </c:pt>
                  <c:pt idx="19">
                    <c:v>0.26051333938975174</c:v>
                  </c:pt>
                  <c:pt idx="20">
                    <c:v>0.28483812947005538</c:v>
                  </c:pt>
                  <c:pt idx="21">
                    <c:v>0.29148509395850764</c:v>
                  </c:pt>
                  <c:pt idx="22">
                    <c:v>0.25400976359187449</c:v>
                  </c:pt>
                  <c:pt idx="23">
                    <c:v>0.16203012065662367</c:v>
                  </c:pt>
                  <c:pt idx="24">
                    <c:v>0</c:v>
                  </c:pt>
                  <c:pt idx="25">
                    <c:v>9.2699999999999991E-2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Dataset_analysis!$AA$125:$AA$164</c:f>
              <c:numCache>
                <c:formatCode>0.0</c:formatCode>
                <c:ptCount val="4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71.604938271604937</c:v>
                </c:pt>
                <c:pt idx="6">
                  <c:v>74.623115577889436</c:v>
                </c:pt>
                <c:pt idx="7">
                  <c:v>56.521739130434845</c:v>
                </c:pt>
                <c:pt idx="8">
                  <c:v>71.64948453608244</c:v>
                </c:pt>
                <c:pt idx="9">
                  <c:v>78.553615960099762</c:v>
                </c:pt>
                <c:pt idx="10">
                  <c:v>39.069767441860456</c:v>
                </c:pt>
                <c:pt idx="11">
                  <c:v>43.5233160621761</c:v>
                </c:pt>
                <c:pt idx="12">
                  <c:v>51.155115511551152</c:v>
                </c:pt>
                <c:pt idx="13">
                  <c:v>46.24999999999995</c:v>
                </c:pt>
                <c:pt idx="14">
                  <c:v>47.97047970479705</c:v>
                </c:pt>
                <c:pt idx="15">
                  <c:v>34.55882352941174</c:v>
                </c:pt>
                <c:pt idx="16">
                  <c:v>44.800000000000004</c:v>
                </c:pt>
                <c:pt idx="17">
                  <c:v>29.850746268656742</c:v>
                </c:pt>
                <c:pt idx="18">
                  <c:v>33.695652173913011</c:v>
                </c:pt>
                <c:pt idx="19">
                  <c:v>27.683615819209017</c:v>
                </c:pt>
                <c:pt idx="20">
                  <c:v>19.819819819819813</c:v>
                </c:pt>
                <c:pt idx="21">
                  <c:v>13.733905579399142</c:v>
                </c:pt>
                <c:pt idx="22">
                  <c:v>14.197530864197585</c:v>
                </c:pt>
                <c:pt idx="23">
                  <c:v>32.732732732732714</c:v>
                </c:pt>
                <c:pt idx="24">
                  <c:v>11.11111111111112</c:v>
                </c:pt>
                <c:pt idx="25">
                  <c:v>10.714285714285712</c:v>
                </c:pt>
                <c:pt idx="26">
                  <c:v>11.372549019607824</c:v>
                </c:pt>
                <c:pt idx="27">
                  <c:v>7.1428571428571814</c:v>
                </c:pt>
                <c:pt idx="28">
                  <c:v>7.0422535211267405</c:v>
                </c:pt>
                <c:pt idx="29">
                  <c:v>8.8888888888889515</c:v>
                </c:pt>
                <c:pt idx="30">
                  <c:v>10.796460176991191</c:v>
                </c:pt>
                <c:pt idx="31">
                  <c:v>25.268817204301076</c:v>
                </c:pt>
                <c:pt idx="32">
                  <c:v>8.9285714285713986</c:v>
                </c:pt>
                <c:pt idx="33">
                  <c:v>11.724137931034557</c:v>
                </c:pt>
                <c:pt idx="34">
                  <c:v>8.3601286173632925</c:v>
                </c:pt>
                <c:pt idx="35">
                  <c:v>10.227272727272698</c:v>
                </c:pt>
                <c:pt idx="36">
                  <c:v>8.3094555873925451</c:v>
                </c:pt>
                <c:pt idx="37">
                  <c:v>9.4202898550724932</c:v>
                </c:pt>
                <c:pt idx="38">
                  <c:v>7.142857142857145</c:v>
                </c:pt>
                <c:pt idx="39">
                  <c:v>8.6419753086419657</c:v>
                </c:pt>
              </c:numCache>
            </c:numRef>
          </c:xVal>
          <c:yVal>
            <c:numRef>
              <c:f>Dataset_analysis!$R$125:$R$164</c:f>
              <c:numCache>
                <c:formatCode>0.000</c:formatCode>
                <c:ptCount val="40"/>
                <c:pt idx="0">
                  <c:v>0.68619999999999981</c:v>
                </c:pt>
                <c:pt idx="1">
                  <c:v>0.66379999999999995</c:v>
                </c:pt>
                <c:pt idx="2">
                  <c:v>0.65550000000000008</c:v>
                </c:pt>
                <c:pt idx="3">
                  <c:v>0.64139999999999997</c:v>
                </c:pt>
                <c:pt idx="4">
                  <c:v>0.66099999999999992</c:v>
                </c:pt>
                <c:pt idx="5">
                  <c:v>0.68070000000000008</c:v>
                </c:pt>
                <c:pt idx="6">
                  <c:v>0.66320000000000001</c:v>
                </c:pt>
                <c:pt idx="7">
                  <c:v>0.6794</c:v>
                </c:pt>
                <c:pt idx="8">
                  <c:v>0.62119999999999997</c:v>
                </c:pt>
                <c:pt idx="9">
                  <c:v>0.65350000000000008</c:v>
                </c:pt>
                <c:pt idx="10">
                  <c:v>0.63480000000000003</c:v>
                </c:pt>
                <c:pt idx="11">
                  <c:v>0.56730000000000003</c:v>
                </c:pt>
                <c:pt idx="12">
                  <c:v>0.6654000000000001</c:v>
                </c:pt>
                <c:pt idx="13">
                  <c:v>0.66510000000000002</c:v>
                </c:pt>
                <c:pt idx="14">
                  <c:v>0.61319999999999997</c:v>
                </c:pt>
                <c:pt idx="15">
                  <c:v>0.66339999999999999</c:v>
                </c:pt>
                <c:pt idx="16">
                  <c:v>0.62790000000000001</c:v>
                </c:pt>
                <c:pt idx="17">
                  <c:v>0.50480000000000003</c:v>
                </c:pt>
                <c:pt idx="18">
                  <c:v>0.61150000000000004</c:v>
                </c:pt>
                <c:pt idx="19">
                  <c:v>0.503</c:v>
                </c:pt>
                <c:pt idx="20">
                  <c:v>0.43479999999999996</c:v>
                </c:pt>
                <c:pt idx="21">
                  <c:v>0.1908</c:v>
                </c:pt>
                <c:pt idx="22">
                  <c:v>0.29480000000000001</c:v>
                </c:pt>
                <c:pt idx="23">
                  <c:v>0.58079999999999998</c:v>
                </c:pt>
                <c:pt idx="24">
                  <c:v>0</c:v>
                </c:pt>
                <c:pt idx="25">
                  <c:v>3.09E-2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8-3646-AE91-506E9AEE3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876496"/>
        <c:axId val="1121830608"/>
      </c:scatterChart>
      <c:valAx>
        <c:axId val="1121876496"/>
        <c:scaling>
          <c:orientation val="minMax"/>
          <c:max val="100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21830608"/>
        <c:crosses val="autoZero"/>
        <c:crossBetween val="midCat"/>
      </c:valAx>
      <c:valAx>
        <c:axId val="1121830608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2187649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8620098230296"/>
          <c:y val="1.9444444444444445E-2"/>
          <c:w val="0.86849399703749908"/>
          <c:h val="0.90837051618547682"/>
        </c:manualLayout>
      </c:layout>
      <c:scatterChart>
        <c:scatterStyle val="lineMarker"/>
        <c:varyColors val="0"/>
        <c:ser>
          <c:idx val="4"/>
          <c:order val="0"/>
          <c:tx>
            <c:v>30-min rehydration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Dataset_analysis!$U$84:$U$123</c:f>
                <c:numCache>
                  <c:formatCode>General</c:formatCode>
                  <c:ptCount val="40"/>
                  <c:pt idx="0">
                    <c:v>2.1565713528654704E-2</c:v>
                  </c:pt>
                  <c:pt idx="5">
                    <c:v>2.304455684104164E-2</c:v>
                  </c:pt>
                  <c:pt idx="10">
                    <c:v>0.16166522940941749</c:v>
                  </c:pt>
                  <c:pt idx="15">
                    <c:v>0.15537609211200987</c:v>
                  </c:pt>
                  <c:pt idx="20">
                    <c:v>0.29386335327835622</c:v>
                  </c:pt>
                  <c:pt idx="25">
                    <c:v>2.198E-2</c:v>
                  </c:pt>
                  <c:pt idx="30">
                    <c:v>0</c:v>
                  </c:pt>
                  <c:pt idx="35">
                    <c:v>0</c:v>
                  </c:pt>
                </c:numCache>
              </c:numRef>
            </c:plus>
            <c:minus>
              <c:numRef>
                <c:f>Dataset_analysis!$U$84:$U$123</c:f>
                <c:numCache>
                  <c:formatCode>General</c:formatCode>
                  <c:ptCount val="40"/>
                  <c:pt idx="0">
                    <c:v>2.1565713528654704E-2</c:v>
                  </c:pt>
                  <c:pt idx="5">
                    <c:v>2.304455684104164E-2</c:v>
                  </c:pt>
                  <c:pt idx="10">
                    <c:v>0.16166522940941749</c:v>
                  </c:pt>
                  <c:pt idx="15">
                    <c:v>0.15537609211200987</c:v>
                  </c:pt>
                  <c:pt idx="20">
                    <c:v>0.29386335327835622</c:v>
                  </c:pt>
                  <c:pt idx="25">
                    <c:v>2.198E-2</c:v>
                  </c:pt>
                  <c:pt idx="30">
                    <c:v>0</c:v>
                  </c:pt>
                  <c:pt idx="3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Dataset_analysis!$B$84:$B$123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</c:numCache>
            </c:numRef>
          </c:xVal>
          <c:yVal>
            <c:numRef>
              <c:f>Dataset_analysis!$T$84:$T$123</c:f>
              <c:numCache>
                <c:formatCode>0.000</c:formatCode>
                <c:ptCount val="40"/>
                <c:pt idx="0">
                  <c:v>0.65359999999999996</c:v>
                </c:pt>
                <c:pt idx="5">
                  <c:v>0.67478000000000027</c:v>
                </c:pt>
                <c:pt idx="10">
                  <c:v>0.60456000000000021</c:v>
                </c:pt>
                <c:pt idx="15">
                  <c:v>0.59470000000000012</c:v>
                </c:pt>
                <c:pt idx="20">
                  <c:v>0.25164000000000003</c:v>
                </c:pt>
                <c:pt idx="25">
                  <c:v>3.14E-3</c:v>
                </c:pt>
                <c:pt idx="30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82-BF46-9A35-253B27277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95728"/>
        <c:axId val="849397408"/>
      </c:scatterChart>
      <c:valAx>
        <c:axId val="849395728"/>
        <c:scaling>
          <c:orientation val="minMax"/>
          <c:max val="18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7408"/>
        <c:crosses val="autoZero"/>
        <c:crossBetween val="midCat"/>
        <c:majorUnit val="30"/>
      </c:valAx>
      <c:valAx>
        <c:axId val="849397408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57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522281244128645"/>
          <c:y val="9.8208454206382079E-2"/>
          <c:w val="0.32961074008915914"/>
          <c:h val="0.16290406627105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8620098230296"/>
          <c:y val="1.9444444444444445E-2"/>
          <c:w val="0.86849399703749908"/>
          <c:h val="0.90837051618547682"/>
        </c:manualLayout>
      </c:layout>
      <c:scatterChart>
        <c:scatterStyle val="lineMarker"/>
        <c:varyColors val="0"/>
        <c:ser>
          <c:idx val="3"/>
          <c:order val="0"/>
          <c:tx>
            <c:v>Exposed in air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Dataset_analysis!$U$43:$U$82</c:f>
                <c:numCache>
                  <c:formatCode>General</c:formatCode>
                  <c:ptCount val="40"/>
                  <c:pt idx="0">
                    <c:v>1.9296051409550107E-2</c:v>
                  </c:pt>
                  <c:pt idx="5">
                    <c:v>2.4140662791232545E-2</c:v>
                  </c:pt>
                  <c:pt idx="10">
                    <c:v>9.1294468616669608E-2</c:v>
                  </c:pt>
                  <c:pt idx="15">
                    <c:v>0.18478860246238132</c:v>
                  </c:pt>
                  <c:pt idx="20">
                    <c:v>0.15266245641938292</c:v>
                  </c:pt>
                  <c:pt idx="25">
                    <c:v>2.4670630312174837E-2</c:v>
                  </c:pt>
                  <c:pt idx="30">
                    <c:v>1.9026297590440455E-2</c:v>
                  </c:pt>
                  <c:pt idx="35">
                    <c:v>1.4251470099607267E-2</c:v>
                  </c:pt>
                </c:numCache>
              </c:numRef>
            </c:plus>
            <c:minus>
              <c:numRef>
                <c:f>Dataset_analysis!$U$43:$U$82</c:f>
                <c:numCache>
                  <c:formatCode>General</c:formatCode>
                  <c:ptCount val="40"/>
                  <c:pt idx="0">
                    <c:v>1.9296051409550107E-2</c:v>
                  </c:pt>
                  <c:pt idx="5">
                    <c:v>2.4140662791232545E-2</c:v>
                  </c:pt>
                  <c:pt idx="10">
                    <c:v>9.1294468616669608E-2</c:v>
                  </c:pt>
                  <c:pt idx="15">
                    <c:v>0.18478860246238132</c:v>
                  </c:pt>
                  <c:pt idx="20">
                    <c:v>0.15266245641938292</c:v>
                  </c:pt>
                  <c:pt idx="25">
                    <c:v>2.4670630312174837E-2</c:v>
                  </c:pt>
                  <c:pt idx="30">
                    <c:v>1.9026297590440455E-2</c:v>
                  </c:pt>
                  <c:pt idx="35">
                    <c:v>1.4251470099607267E-2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Dataset_analysis!$B$43:$B$82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</c:numCache>
            </c:numRef>
          </c:xVal>
          <c:yVal>
            <c:numRef>
              <c:f>Dataset_analysis!$T$43:$T$82</c:f>
              <c:numCache>
                <c:formatCode>0.000</c:formatCode>
                <c:ptCount val="40"/>
                <c:pt idx="0">
                  <c:v>0.65867999999999982</c:v>
                </c:pt>
                <c:pt idx="5">
                  <c:v>0.66477999999999982</c:v>
                </c:pt>
                <c:pt idx="10">
                  <c:v>0.57799999999999996</c:v>
                </c:pt>
                <c:pt idx="15">
                  <c:v>0.37181999999999993</c:v>
                </c:pt>
                <c:pt idx="20">
                  <c:v>0.16312000000000001</c:v>
                </c:pt>
                <c:pt idx="25">
                  <c:v>3.9199999999999999E-2</c:v>
                </c:pt>
                <c:pt idx="30">
                  <c:v>3.4799999999999998E-2</c:v>
                </c:pt>
                <c:pt idx="35">
                  <c:v>7.6600000000000001E-3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3-0F42-B4C0-FC4C85C22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95728"/>
        <c:axId val="849397408"/>
      </c:scatterChart>
      <c:valAx>
        <c:axId val="849395728"/>
        <c:scaling>
          <c:orientation val="minMax"/>
          <c:max val="18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7408"/>
        <c:crosses val="autoZero"/>
        <c:crossBetween val="midCat"/>
        <c:majorUnit val="30"/>
      </c:valAx>
      <c:valAx>
        <c:axId val="849397408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57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522281244128645"/>
          <c:y val="9.8208454206382079E-2"/>
          <c:w val="0.32961074008915914"/>
          <c:h val="0.16290406627105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8620098230296"/>
          <c:y val="1.9444444444444445E-2"/>
          <c:w val="0.86849399703749908"/>
          <c:h val="0.90837051618547682"/>
        </c:manualLayout>
      </c:layout>
      <c:scatterChart>
        <c:scatterStyle val="lineMarker"/>
        <c:varyColors val="0"/>
        <c:ser>
          <c:idx val="2"/>
          <c:order val="0"/>
          <c:tx>
            <c:v>1-day rehydration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Dataset_analysis!$U$125:$U$164</c:f>
                <c:numCache>
                  <c:formatCode>General</c:formatCode>
                  <c:ptCount val="40"/>
                  <c:pt idx="0">
                    <c:v>1.7877460669793125E-2</c:v>
                  </c:pt>
                  <c:pt idx="5">
                    <c:v>2.9879089678234858E-2</c:v>
                  </c:pt>
                  <c:pt idx="10">
                    <c:v>9.4296417747443295E-2</c:v>
                  </c:pt>
                  <c:pt idx="15">
                    <c:v>0.18447532517927737</c:v>
                  </c:pt>
                  <c:pt idx="20">
                    <c:v>0.30194109094325011</c:v>
                  </c:pt>
                  <c:pt idx="25">
                    <c:v>4.326E-2</c:v>
                  </c:pt>
                  <c:pt idx="30">
                    <c:v>0</c:v>
                  </c:pt>
                  <c:pt idx="35">
                    <c:v>0</c:v>
                  </c:pt>
                </c:numCache>
              </c:numRef>
            </c:plus>
            <c:minus>
              <c:numRef>
                <c:f>Dataset_analysis!$U$125:$U$164</c:f>
                <c:numCache>
                  <c:formatCode>General</c:formatCode>
                  <c:ptCount val="40"/>
                  <c:pt idx="0">
                    <c:v>1.7877460669793125E-2</c:v>
                  </c:pt>
                  <c:pt idx="5">
                    <c:v>2.9879089678234858E-2</c:v>
                  </c:pt>
                  <c:pt idx="10">
                    <c:v>9.4296417747443295E-2</c:v>
                  </c:pt>
                  <c:pt idx="15">
                    <c:v>0.18447532517927737</c:v>
                  </c:pt>
                  <c:pt idx="20">
                    <c:v>0.30194109094325011</c:v>
                  </c:pt>
                  <c:pt idx="25">
                    <c:v>4.326E-2</c:v>
                  </c:pt>
                  <c:pt idx="30">
                    <c:v>0</c:v>
                  </c:pt>
                  <c:pt idx="3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Dataset_analysis!$B$125:$B$164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</c:numCache>
            </c:numRef>
          </c:xVal>
          <c:yVal>
            <c:numRef>
              <c:f>Dataset_analysis!$T$125:$T$164</c:f>
              <c:numCache>
                <c:formatCode>0.000</c:formatCode>
                <c:ptCount val="40"/>
                <c:pt idx="0">
                  <c:v>0.66157999999999983</c:v>
                </c:pt>
                <c:pt idx="5">
                  <c:v>0.65960000000000008</c:v>
                </c:pt>
                <c:pt idx="10">
                  <c:v>0.62915999999999972</c:v>
                </c:pt>
                <c:pt idx="15">
                  <c:v>0.58212000000000008</c:v>
                </c:pt>
                <c:pt idx="20">
                  <c:v>0.30023999999999995</c:v>
                </c:pt>
                <c:pt idx="25">
                  <c:v>6.1799999999999997E-3</c:v>
                </c:pt>
                <c:pt idx="30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FC-C947-A631-8FEABB27E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95728"/>
        <c:axId val="849397408"/>
      </c:scatterChart>
      <c:valAx>
        <c:axId val="849395728"/>
        <c:scaling>
          <c:orientation val="minMax"/>
          <c:max val="18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7408"/>
        <c:crosses val="autoZero"/>
        <c:crossBetween val="midCat"/>
        <c:majorUnit val="30"/>
      </c:valAx>
      <c:valAx>
        <c:axId val="849397408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57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522281244128645"/>
          <c:y val="9.8208454206382079E-2"/>
          <c:w val="0.32961074008915914"/>
          <c:h val="0.16290406627105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8620098230296"/>
          <c:y val="1.9444444444444445E-2"/>
          <c:w val="0.86849399703749908"/>
          <c:h val="0.90837051618547682"/>
        </c:manualLayout>
      </c:layout>
      <c:scatterChart>
        <c:scatterStyle val="lineMarker"/>
        <c:varyColors val="0"/>
        <c:ser>
          <c:idx val="4"/>
          <c:order val="0"/>
          <c:tx>
            <c:v>30-min rehydration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Dataset_analysis!$U$84:$U$123</c:f>
                <c:numCache>
                  <c:formatCode>General</c:formatCode>
                  <c:ptCount val="40"/>
                  <c:pt idx="0">
                    <c:v>2.1565713528654704E-2</c:v>
                  </c:pt>
                  <c:pt idx="5">
                    <c:v>2.304455684104164E-2</c:v>
                  </c:pt>
                  <c:pt idx="10">
                    <c:v>0.16166522940941749</c:v>
                  </c:pt>
                  <c:pt idx="15">
                    <c:v>0.15537609211200987</c:v>
                  </c:pt>
                  <c:pt idx="20">
                    <c:v>0.29386335327835622</c:v>
                  </c:pt>
                  <c:pt idx="25">
                    <c:v>2.198E-2</c:v>
                  </c:pt>
                  <c:pt idx="30">
                    <c:v>0</c:v>
                  </c:pt>
                  <c:pt idx="35">
                    <c:v>0</c:v>
                  </c:pt>
                </c:numCache>
              </c:numRef>
            </c:plus>
            <c:minus>
              <c:numRef>
                <c:f>Dataset_analysis!$U$84:$U$123</c:f>
                <c:numCache>
                  <c:formatCode>General</c:formatCode>
                  <c:ptCount val="40"/>
                  <c:pt idx="0">
                    <c:v>2.1565713528654704E-2</c:v>
                  </c:pt>
                  <c:pt idx="5">
                    <c:v>2.304455684104164E-2</c:v>
                  </c:pt>
                  <c:pt idx="10">
                    <c:v>0.16166522940941749</c:v>
                  </c:pt>
                  <c:pt idx="15">
                    <c:v>0.15537609211200987</c:v>
                  </c:pt>
                  <c:pt idx="20">
                    <c:v>0.29386335327835622</c:v>
                  </c:pt>
                  <c:pt idx="25">
                    <c:v>2.198E-2</c:v>
                  </c:pt>
                  <c:pt idx="30">
                    <c:v>0</c:v>
                  </c:pt>
                  <c:pt idx="3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Dataset_analysis!$B$84:$B$123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</c:numCache>
            </c:numRef>
          </c:xVal>
          <c:yVal>
            <c:numRef>
              <c:f>Dataset_analysis!$T$84:$T$123</c:f>
              <c:numCache>
                <c:formatCode>0.000</c:formatCode>
                <c:ptCount val="40"/>
                <c:pt idx="0">
                  <c:v>0.65359999999999996</c:v>
                </c:pt>
                <c:pt idx="5">
                  <c:v>0.67478000000000027</c:v>
                </c:pt>
                <c:pt idx="10">
                  <c:v>0.60456000000000021</c:v>
                </c:pt>
                <c:pt idx="15">
                  <c:v>0.59470000000000012</c:v>
                </c:pt>
                <c:pt idx="20">
                  <c:v>0.25164000000000003</c:v>
                </c:pt>
                <c:pt idx="25">
                  <c:v>3.14E-3</c:v>
                </c:pt>
                <c:pt idx="30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9-7A45-9583-0F632A27D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95728"/>
        <c:axId val="849397408"/>
      </c:scatterChart>
      <c:valAx>
        <c:axId val="849395728"/>
        <c:scaling>
          <c:orientation val="minMax"/>
          <c:max val="6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7408"/>
        <c:crosses val="autoZero"/>
        <c:crossBetween val="midCat"/>
        <c:majorUnit val="10"/>
      </c:valAx>
      <c:valAx>
        <c:axId val="849397408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57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522281244128645"/>
          <c:y val="9.8208454206382079E-2"/>
          <c:w val="0.32961074008915914"/>
          <c:h val="0.16290406627105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8620098230296"/>
          <c:y val="1.9444444444444445E-2"/>
          <c:w val="0.86849399703749908"/>
          <c:h val="0.90837051618547682"/>
        </c:manualLayout>
      </c:layout>
      <c:scatterChart>
        <c:scatterStyle val="lineMarker"/>
        <c:varyColors val="0"/>
        <c:ser>
          <c:idx val="3"/>
          <c:order val="0"/>
          <c:tx>
            <c:v>Exposed in air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Dataset_analysis!$S$43:$S$82</c:f>
                <c:numCache>
                  <c:formatCode>General</c:formatCode>
                  <c:ptCount val="40"/>
                  <c:pt idx="0">
                    <c:v>5.9236812878479435E-3</c:v>
                  </c:pt>
                  <c:pt idx="1">
                    <c:v>1.418590850104428E-2</c:v>
                  </c:pt>
                  <c:pt idx="2">
                    <c:v>1.0169070754006984E-2</c:v>
                  </c:pt>
                  <c:pt idx="3">
                    <c:v>1.9488458122694074E-2</c:v>
                  </c:pt>
                  <c:pt idx="4">
                    <c:v>1.2993844696624641E-2</c:v>
                  </c:pt>
                  <c:pt idx="5">
                    <c:v>1.6141871019184826E-2</c:v>
                  </c:pt>
                  <c:pt idx="6">
                    <c:v>1.2657408897558786E-2</c:v>
                  </c:pt>
                  <c:pt idx="7">
                    <c:v>1.4624978632463035E-2</c:v>
                  </c:pt>
                  <c:pt idx="8">
                    <c:v>1.3302631318652725E-2</c:v>
                  </c:pt>
                  <c:pt idx="9">
                    <c:v>2.4482851141155906E-2</c:v>
                  </c:pt>
                  <c:pt idx="10">
                    <c:v>0.16114651718234596</c:v>
                  </c:pt>
                  <c:pt idx="11">
                    <c:v>3.7166651718980551E-2</c:v>
                  </c:pt>
                  <c:pt idx="12">
                    <c:v>5.0784741803025835E-2</c:v>
                  </c:pt>
                  <c:pt idx="13">
                    <c:v>4.6942091985764739E-2</c:v>
                  </c:pt>
                  <c:pt idx="14">
                    <c:v>7.2088903445675909E-2</c:v>
                  </c:pt>
                  <c:pt idx="15">
                    <c:v>0.17186320141321698</c:v>
                  </c:pt>
                  <c:pt idx="16">
                    <c:v>8.9587331693717062E-2</c:v>
                  </c:pt>
                  <c:pt idx="17">
                    <c:v>0.14925347567142269</c:v>
                  </c:pt>
                  <c:pt idx="18">
                    <c:v>0.1986686688937136</c:v>
                  </c:pt>
                  <c:pt idx="19">
                    <c:v>0.14949100307376359</c:v>
                  </c:pt>
                  <c:pt idx="20">
                    <c:v>7.9589949114194106E-2</c:v>
                  </c:pt>
                  <c:pt idx="21">
                    <c:v>4.8324010595148244E-2</c:v>
                  </c:pt>
                  <c:pt idx="22">
                    <c:v>6.1768600437439113E-2</c:v>
                  </c:pt>
                  <c:pt idx="23">
                    <c:v>0.15449559864280912</c:v>
                  </c:pt>
                  <c:pt idx="24">
                    <c:v>1.6613247725836205E-2</c:v>
                  </c:pt>
                  <c:pt idx="25">
                    <c:v>2.6171740484728933E-2</c:v>
                  </c:pt>
                  <c:pt idx="26">
                    <c:v>2.1428952377566177E-2</c:v>
                  </c:pt>
                  <c:pt idx="27">
                    <c:v>1.8127603261324978E-2</c:v>
                  </c:pt>
                  <c:pt idx="28">
                    <c:v>1.9894974239742059E-2</c:v>
                  </c:pt>
                  <c:pt idx="29">
                    <c:v>1.4945233353815522E-2</c:v>
                  </c:pt>
                  <c:pt idx="30">
                    <c:v>7.5637292389402573E-3</c:v>
                  </c:pt>
                  <c:pt idx="31">
                    <c:v>1.4520330574749321E-2</c:v>
                  </c:pt>
                  <c:pt idx="32">
                    <c:v>6.5604877867426904E-3</c:v>
                  </c:pt>
                  <c:pt idx="33">
                    <c:v>2.6457513110645903E-3</c:v>
                  </c:pt>
                  <c:pt idx="34">
                    <c:v>1.3342038824707414E-2</c:v>
                  </c:pt>
                  <c:pt idx="35">
                    <c:v>1.1698290473398241E-2</c:v>
                  </c:pt>
                  <c:pt idx="36">
                    <c:v>0</c:v>
                  </c:pt>
                  <c:pt idx="37">
                    <c:v>2.0535091916034851E-2</c:v>
                  </c:pt>
                  <c:pt idx="38">
                    <c:v>0</c:v>
                  </c:pt>
                  <c:pt idx="39">
                    <c:v>1.3431678971744375E-2</c:v>
                  </c:pt>
                </c:numCache>
              </c:numRef>
            </c:plus>
            <c:minus>
              <c:numRef>
                <c:f>Dataset_analysis!$S$43:$S$82</c:f>
                <c:numCache>
                  <c:formatCode>General</c:formatCode>
                  <c:ptCount val="40"/>
                  <c:pt idx="0">
                    <c:v>5.9236812878479435E-3</c:v>
                  </c:pt>
                  <c:pt idx="1">
                    <c:v>1.418590850104428E-2</c:v>
                  </c:pt>
                  <c:pt idx="2">
                    <c:v>1.0169070754006984E-2</c:v>
                  </c:pt>
                  <c:pt idx="3">
                    <c:v>1.9488458122694074E-2</c:v>
                  </c:pt>
                  <c:pt idx="4">
                    <c:v>1.2993844696624641E-2</c:v>
                  </c:pt>
                  <c:pt idx="5">
                    <c:v>1.6141871019184826E-2</c:v>
                  </c:pt>
                  <c:pt idx="6">
                    <c:v>1.2657408897558786E-2</c:v>
                  </c:pt>
                  <c:pt idx="7">
                    <c:v>1.4624978632463035E-2</c:v>
                  </c:pt>
                  <c:pt idx="8">
                    <c:v>1.3302631318652725E-2</c:v>
                  </c:pt>
                  <c:pt idx="9">
                    <c:v>2.4482851141155906E-2</c:v>
                  </c:pt>
                  <c:pt idx="10">
                    <c:v>0.16114651718234596</c:v>
                  </c:pt>
                  <c:pt idx="11">
                    <c:v>3.7166651718980551E-2</c:v>
                  </c:pt>
                  <c:pt idx="12">
                    <c:v>5.0784741803025835E-2</c:v>
                  </c:pt>
                  <c:pt idx="13">
                    <c:v>4.6942091985764739E-2</c:v>
                  </c:pt>
                  <c:pt idx="14">
                    <c:v>7.2088903445675909E-2</c:v>
                  </c:pt>
                  <c:pt idx="15">
                    <c:v>0.17186320141321698</c:v>
                  </c:pt>
                  <c:pt idx="16">
                    <c:v>8.9587331693717062E-2</c:v>
                  </c:pt>
                  <c:pt idx="17">
                    <c:v>0.14925347567142269</c:v>
                  </c:pt>
                  <c:pt idx="18">
                    <c:v>0.1986686688937136</c:v>
                  </c:pt>
                  <c:pt idx="19">
                    <c:v>0.14949100307376359</c:v>
                  </c:pt>
                  <c:pt idx="20">
                    <c:v>7.9589949114194106E-2</c:v>
                  </c:pt>
                  <c:pt idx="21">
                    <c:v>4.8324010595148244E-2</c:v>
                  </c:pt>
                  <c:pt idx="22">
                    <c:v>6.1768600437439113E-2</c:v>
                  </c:pt>
                  <c:pt idx="23">
                    <c:v>0.15449559864280912</c:v>
                  </c:pt>
                  <c:pt idx="24">
                    <c:v>1.6613247725836205E-2</c:v>
                  </c:pt>
                  <c:pt idx="25">
                    <c:v>2.6171740484728933E-2</c:v>
                  </c:pt>
                  <c:pt idx="26">
                    <c:v>2.1428952377566177E-2</c:v>
                  </c:pt>
                  <c:pt idx="27">
                    <c:v>1.8127603261324978E-2</c:v>
                  </c:pt>
                  <c:pt idx="28">
                    <c:v>1.9894974239742059E-2</c:v>
                  </c:pt>
                  <c:pt idx="29">
                    <c:v>1.4945233353815522E-2</c:v>
                  </c:pt>
                  <c:pt idx="30">
                    <c:v>7.5637292389402573E-3</c:v>
                  </c:pt>
                  <c:pt idx="31">
                    <c:v>1.4520330574749321E-2</c:v>
                  </c:pt>
                  <c:pt idx="32">
                    <c:v>6.5604877867426904E-3</c:v>
                  </c:pt>
                  <c:pt idx="33">
                    <c:v>2.6457513110645903E-3</c:v>
                  </c:pt>
                  <c:pt idx="34">
                    <c:v>1.3342038824707414E-2</c:v>
                  </c:pt>
                  <c:pt idx="35">
                    <c:v>1.1698290473398241E-2</c:v>
                  </c:pt>
                  <c:pt idx="36">
                    <c:v>0</c:v>
                  </c:pt>
                  <c:pt idx="37">
                    <c:v>2.0535091916034851E-2</c:v>
                  </c:pt>
                  <c:pt idx="38">
                    <c:v>0</c:v>
                  </c:pt>
                  <c:pt idx="39">
                    <c:v>1.3431678971744375E-2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Dataset_analysis!$B$43:$B$82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</c:numCache>
            </c:numRef>
          </c:xVal>
          <c:yVal>
            <c:numRef>
              <c:f>Dataset_analysis!$R$43:$R$82</c:f>
              <c:numCache>
                <c:formatCode>0.000</c:formatCode>
                <c:ptCount val="40"/>
                <c:pt idx="0">
                  <c:v>0.67910000000000004</c:v>
                </c:pt>
                <c:pt idx="1">
                  <c:v>0.6614000000000001</c:v>
                </c:pt>
                <c:pt idx="2">
                  <c:v>0.65429999999999988</c:v>
                </c:pt>
                <c:pt idx="3">
                  <c:v>0.63600000000000012</c:v>
                </c:pt>
                <c:pt idx="4">
                  <c:v>0.66260000000000008</c:v>
                </c:pt>
                <c:pt idx="5">
                  <c:v>0.68820000000000003</c:v>
                </c:pt>
                <c:pt idx="6">
                  <c:v>0.66530000000000011</c:v>
                </c:pt>
                <c:pt idx="7">
                  <c:v>0.64689999999999992</c:v>
                </c:pt>
                <c:pt idx="8">
                  <c:v>0.64419999999999999</c:v>
                </c:pt>
                <c:pt idx="9">
                  <c:v>0.67930000000000013</c:v>
                </c:pt>
                <c:pt idx="10">
                  <c:v>0.53499999999999992</c:v>
                </c:pt>
                <c:pt idx="11">
                  <c:v>0.59520000000000006</c:v>
                </c:pt>
                <c:pt idx="12">
                  <c:v>0.62290000000000001</c:v>
                </c:pt>
                <c:pt idx="13">
                  <c:v>0.56920000000000004</c:v>
                </c:pt>
                <c:pt idx="14">
                  <c:v>0.56770000000000009</c:v>
                </c:pt>
                <c:pt idx="15">
                  <c:v>0.37479999999999997</c:v>
                </c:pt>
                <c:pt idx="16">
                  <c:v>0.5220999999999999</c:v>
                </c:pt>
                <c:pt idx="17">
                  <c:v>0.39900000000000002</c:v>
                </c:pt>
                <c:pt idx="18">
                  <c:v>0.35039999999999999</c:v>
                </c:pt>
                <c:pt idx="19">
                  <c:v>0.21280000000000002</c:v>
                </c:pt>
                <c:pt idx="20">
                  <c:v>0.12619999999999998</c:v>
                </c:pt>
                <c:pt idx="21">
                  <c:v>8.4699999999999998E-2</c:v>
                </c:pt>
                <c:pt idx="22">
                  <c:v>0.11779999999999999</c:v>
                </c:pt>
                <c:pt idx="23">
                  <c:v>0.41290000000000004</c:v>
                </c:pt>
                <c:pt idx="24">
                  <c:v>7.3999999999999982E-2</c:v>
                </c:pt>
                <c:pt idx="25">
                  <c:v>5.6200000000000007E-2</c:v>
                </c:pt>
                <c:pt idx="26">
                  <c:v>5.2000000000000005E-2</c:v>
                </c:pt>
                <c:pt idx="27">
                  <c:v>2.47E-2</c:v>
                </c:pt>
                <c:pt idx="28">
                  <c:v>2.23E-2</c:v>
                </c:pt>
                <c:pt idx="29">
                  <c:v>4.0800000000000003E-2</c:v>
                </c:pt>
                <c:pt idx="30">
                  <c:v>5.2299999999999999E-2</c:v>
                </c:pt>
                <c:pt idx="31">
                  <c:v>2.8400000000000002E-2</c:v>
                </c:pt>
                <c:pt idx="32">
                  <c:v>5.16E-2</c:v>
                </c:pt>
                <c:pt idx="33">
                  <c:v>3.3000000000000008E-2</c:v>
                </c:pt>
                <c:pt idx="34">
                  <c:v>8.6999999999999994E-3</c:v>
                </c:pt>
                <c:pt idx="35">
                  <c:v>9.4999999999999998E-3</c:v>
                </c:pt>
                <c:pt idx="36">
                  <c:v>0</c:v>
                </c:pt>
                <c:pt idx="37">
                  <c:v>2.01E-2</c:v>
                </c:pt>
                <c:pt idx="38">
                  <c:v>0</c:v>
                </c:pt>
                <c:pt idx="39">
                  <c:v>8.6999999999999994E-3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5-044F-84CA-F0A3D1F2D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95728"/>
        <c:axId val="849397408"/>
      </c:scatterChart>
      <c:valAx>
        <c:axId val="849395728"/>
        <c:scaling>
          <c:orientation val="minMax"/>
          <c:max val="18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7408"/>
        <c:crosses val="autoZero"/>
        <c:crossBetween val="midCat"/>
        <c:majorUnit val="30"/>
      </c:valAx>
      <c:valAx>
        <c:axId val="849397408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57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522281244128645"/>
          <c:y val="9.8208454206382079E-2"/>
          <c:w val="0.32961074008915914"/>
          <c:h val="0.16290406627105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8620098230296"/>
          <c:y val="1.9444444444444445E-2"/>
          <c:w val="0.86849399703749908"/>
          <c:h val="0.90837051618547682"/>
        </c:manualLayout>
      </c:layout>
      <c:scatterChart>
        <c:scatterStyle val="lineMarker"/>
        <c:varyColors val="0"/>
        <c:ser>
          <c:idx val="4"/>
          <c:order val="0"/>
          <c:tx>
            <c:v>30-min rehydration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Dataset_analysis!$S$84:$S$123</c:f>
                <c:numCache>
                  <c:formatCode>General</c:formatCode>
                  <c:ptCount val="40"/>
                  <c:pt idx="0">
                    <c:v>5.9363288318623371E-3</c:v>
                  </c:pt>
                  <c:pt idx="1">
                    <c:v>1.2833160171991922E-2</c:v>
                  </c:pt>
                  <c:pt idx="2">
                    <c:v>1.6871277367170527E-2</c:v>
                  </c:pt>
                  <c:pt idx="3">
                    <c:v>1.0316976301223153E-2</c:v>
                  </c:pt>
                  <c:pt idx="4">
                    <c:v>9.4556861200020895E-3</c:v>
                  </c:pt>
                  <c:pt idx="5">
                    <c:v>7.6576758876306366E-3</c:v>
                  </c:pt>
                  <c:pt idx="6">
                    <c:v>1.0601886624558866E-2</c:v>
                  </c:pt>
                  <c:pt idx="7">
                    <c:v>4.9959983987186993E-3</c:v>
                  </c:pt>
                  <c:pt idx="8">
                    <c:v>1.669251329189228E-2</c:v>
                  </c:pt>
                  <c:pt idx="9">
                    <c:v>1.7323105957073606E-2</c:v>
                  </c:pt>
                  <c:pt idx="10">
                    <c:v>0.25333266666578952</c:v>
                  </c:pt>
                  <c:pt idx="11">
                    <c:v>0.17295227665457322</c:v>
                  </c:pt>
                  <c:pt idx="12">
                    <c:v>1.4235167719419409E-2</c:v>
                  </c:pt>
                  <c:pt idx="13">
                    <c:v>2.7958719570109078E-2</c:v>
                  </c:pt>
                  <c:pt idx="14">
                    <c:v>3.2641078413557387E-2</c:v>
                  </c:pt>
                  <c:pt idx="15">
                    <c:v>0.17516437994067188</c:v>
                  </c:pt>
                  <c:pt idx="16">
                    <c:v>3.4993713721181423E-2</c:v>
                  </c:pt>
                  <c:pt idx="17">
                    <c:v>0.21820882200314443</c:v>
                  </c:pt>
                  <c:pt idx="18">
                    <c:v>4.4122669910149369E-2</c:v>
                  </c:pt>
                  <c:pt idx="19">
                    <c:v>0.1578597162039764</c:v>
                  </c:pt>
                  <c:pt idx="20">
                    <c:v>0.24271884970063604</c:v>
                  </c:pt>
                  <c:pt idx="21">
                    <c:v>0</c:v>
                  </c:pt>
                  <c:pt idx="22">
                    <c:v>0.27342693722455363</c:v>
                  </c:pt>
                  <c:pt idx="23">
                    <c:v>8.8646996565027905E-2</c:v>
                  </c:pt>
                  <c:pt idx="24">
                    <c:v>1.4064138793399329E-2</c:v>
                  </c:pt>
                  <c:pt idx="25">
                    <c:v>4.7100000000000003E-2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</c:numCache>
              </c:numRef>
            </c:plus>
            <c:minus>
              <c:numRef>
                <c:f>Dataset_analysis!$S$84:$S$123</c:f>
                <c:numCache>
                  <c:formatCode>General</c:formatCode>
                  <c:ptCount val="40"/>
                  <c:pt idx="0">
                    <c:v>5.9363288318623371E-3</c:v>
                  </c:pt>
                  <c:pt idx="1">
                    <c:v>1.2833160171991922E-2</c:v>
                  </c:pt>
                  <c:pt idx="2">
                    <c:v>1.6871277367170527E-2</c:v>
                  </c:pt>
                  <c:pt idx="3">
                    <c:v>1.0316976301223153E-2</c:v>
                  </c:pt>
                  <c:pt idx="4">
                    <c:v>9.4556861200020895E-3</c:v>
                  </c:pt>
                  <c:pt idx="5">
                    <c:v>7.6576758876306366E-3</c:v>
                  </c:pt>
                  <c:pt idx="6">
                    <c:v>1.0601886624558866E-2</c:v>
                  </c:pt>
                  <c:pt idx="7">
                    <c:v>4.9959983987186993E-3</c:v>
                  </c:pt>
                  <c:pt idx="8">
                    <c:v>1.669251329189228E-2</c:v>
                  </c:pt>
                  <c:pt idx="9">
                    <c:v>1.7323105957073606E-2</c:v>
                  </c:pt>
                  <c:pt idx="10">
                    <c:v>0.25333266666578952</c:v>
                  </c:pt>
                  <c:pt idx="11">
                    <c:v>0.17295227665457322</c:v>
                  </c:pt>
                  <c:pt idx="12">
                    <c:v>1.4235167719419409E-2</c:v>
                  </c:pt>
                  <c:pt idx="13">
                    <c:v>2.7958719570109078E-2</c:v>
                  </c:pt>
                  <c:pt idx="14">
                    <c:v>3.2641078413557387E-2</c:v>
                  </c:pt>
                  <c:pt idx="15">
                    <c:v>0.17516437994067188</c:v>
                  </c:pt>
                  <c:pt idx="16">
                    <c:v>3.4993713721181423E-2</c:v>
                  </c:pt>
                  <c:pt idx="17">
                    <c:v>0.21820882200314443</c:v>
                  </c:pt>
                  <c:pt idx="18">
                    <c:v>4.4122669910149369E-2</c:v>
                  </c:pt>
                  <c:pt idx="19">
                    <c:v>0.1578597162039764</c:v>
                  </c:pt>
                  <c:pt idx="20">
                    <c:v>0.24271884970063604</c:v>
                  </c:pt>
                  <c:pt idx="21">
                    <c:v>0</c:v>
                  </c:pt>
                  <c:pt idx="22">
                    <c:v>0.27342693722455363</c:v>
                  </c:pt>
                  <c:pt idx="23">
                    <c:v>8.8646996565027905E-2</c:v>
                  </c:pt>
                  <c:pt idx="24">
                    <c:v>1.4064138793399329E-2</c:v>
                  </c:pt>
                  <c:pt idx="25">
                    <c:v>4.7100000000000003E-2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Dataset_analysis!$B$84:$B$123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</c:numCache>
            </c:numRef>
          </c:xVal>
          <c:yVal>
            <c:numRef>
              <c:f>Dataset_analysis!$R$84:$R$123</c:f>
              <c:numCache>
                <c:formatCode>0.000</c:formatCode>
                <c:ptCount val="40"/>
                <c:pt idx="0">
                  <c:v>0.6644000000000001</c:v>
                </c:pt>
                <c:pt idx="1">
                  <c:v>0.66290000000000016</c:v>
                </c:pt>
                <c:pt idx="2">
                  <c:v>0.66260000000000008</c:v>
                </c:pt>
                <c:pt idx="3">
                  <c:v>0.61740000000000017</c:v>
                </c:pt>
                <c:pt idx="4">
                  <c:v>0.66070000000000007</c:v>
                </c:pt>
                <c:pt idx="5">
                  <c:v>0.69140000000000001</c:v>
                </c:pt>
                <c:pt idx="6">
                  <c:v>0.66799999999999993</c:v>
                </c:pt>
                <c:pt idx="7">
                  <c:v>0.69379999999999986</c:v>
                </c:pt>
                <c:pt idx="8">
                  <c:v>0.64060000000000006</c:v>
                </c:pt>
                <c:pt idx="9">
                  <c:v>0.68009999999999993</c:v>
                </c:pt>
                <c:pt idx="10">
                  <c:v>0.44559999999999994</c:v>
                </c:pt>
                <c:pt idx="11">
                  <c:v>0.60309999999999997</c:v>
                </c:pt>
                <c:pt idx="12">
                  <c:v>0.66940000000000022</c:v>
                </c:pt>
                <c:pt idx="13">
                  <c:v>0.66810000000000014</c:v>
                </c:pt>
                <c:pt idx="14">
                  <c:v>0.63659999999999994</c:v>
                </c:pt>
                <c:pt idx="15">
                  <c:v>0.58979999999999999</c:v>
                </c:pt>
                <c:pt idx="16">
                  <c:v>0.6492</c:v>
                </c:pt>
                <c:pt idx="17">
                  <c:v>0.52489999999999992</c:v>
                </c:pt>
                <c:pt idx="18">
                  <c:v>0.66070000000000007</c:v>
                </c:pt>
                <c:pt idx="19">
                  <c:v>0.54889999999999994</c:v>
                </c:pt>
                <c:pt idx="20">
                  <c:v>0.37740000000000007</c:v>
                </c:pt>
                <c:pt idx="21">
                  <c:v>0</c:v>
                </c:pt>
                <c:pt idx="22">
                  <c:v>0.2339</c:v>
                </c:pt>
                <c:pt idx="23">
                  <c:v>0.63990000000000002</c:v>
                </c:pt>
                <c:pt idx="24">
                  <c:v>7.000000000000001E-3</c:v>
                </c:pt>
                <c:pt idx="25">
                  <c:v>1.5699999999999999E-2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E-E949-BA2A-31F0B0264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95728"/>
        <c:axId val="849397408"/>
      </c:scatterChart>
      <c:valAx>
        <c:axId val="849395728"/>
        <c:scaling>
          <c:orientation val="minMax"/>
          <c:max val="18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7408"/>
        <c:crosses val="autoZero"/>
        <c:crossBetween val="midCat"/>
        <c:majorUnit val="30"/>
      </c:valAx>
      <c:valAx>
        <c:axId val="849397408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57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522281244128645"/>
          <c:y val="9.8208454206382079E-2"/>
          <c:w val="0.32961074008915914"/>
          <c:h val="0.16290406627105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8620098230296"/>
          <c:y val="1.9444444444444445E-2"/>
          <c:w val="0.86849399703749908"/>
          <c:h val="0.90837051618547682"/>
        </c:manualLayout>
      </c:layout>
      <c:scatterChart>
        <c:scatterStyle val="lineMarker"/>
        <c:varyColors val="0"/>
        <c:ser>
          <c:idx val="2"/>
          <c:order val="0"/>
          <c:tx>
            <c:v>1-day rehydration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Dataset_analysis!$S$125:$S$164</c:f>
                <c:numCache>
                  <c:formatCode>General</c:formatCode>
                  <c:ptCount val="40"/>
                  <c:pt idx="0">
                    <c:v>6.8234888436927571E-3</c:v>
                  </c:pt>
                  <c:pt idx="1">
                    <c:v>7.5339232807349514E-3</c:v>
                  </c:pt>
                  <c:pt idx="2">
                    <c:v>1.0613670430157525E-2</c:v>
                  </c:pt>
                  <c:pt idx="3">
                    <c:v>1.3836184445142393E-2</c:v>
                  </c:pt>
                  <c:pt idx="4">
                    <c:v>1.1618950038622259E-2</c:v>
                  </c:pt>
                  <c:pt idx="5">
                    <c:v>1.7453079957417236E-2</c:v>
                  </c:pt>
                  <c:pt idx="6">
                    <c:v>9.9879927913470272E-3</c:v>
                  </c:pt>
                  <c:pt idx="7">
                    <c:v>8.3450584180100075E-3</c:v>
                  </c:pt>
                  <c:pt idx="8">
                    <c:v>3.5574710118284898E-2</c:v>
                  </c:pt>
                  <c:pt idx="9">
                    <c:v>1.9032866310674277E-2</c:v>
                  </c:pt>
                  <c:pt idx="10">
                    <c:v>1.3414917070187216E-2</c:v>
                  </c:pt>
                  <c:pt idx="11">
                    <c:v>0.19216193691779865</c:v>
                  </c:pt>
                  <c:pt idx="12">
                    <c:v>6.3749509802036967E-3</c:v>
                  </c:pt>
                  <c:pt idx="13">
                    <c:v>1.4411453778158534E-2</c:v>
                  </c:pt>
                  <c:pt idx="14">
                    <c:v>1.9656042327996767E-2</c:v>
                  </c:pt>
                  <c:pt idx="15">
                    <c:v>1.4847221962373985E-2</c:v>
                  </c:pt>
                  <c:pt idx="16">
                    <c:v>1.7420964382031223E-2</c:v>
                  </c:pt>
                  <c:pt idx="17">
                    <c:v>0.25271240571052311</c:v>
                  </c:pt>
                  <c:pt idx="18">
                    <c:v>0.12687493842363057</c:v>
                  </c:pt>
                  <c:pt idx="19">
                    <c:v>0.26051333938975174</c:v>
                  </c:pt>
                  <c:pt idx="20">
                    <c:v>0.28483812947005538</c:v>
                  </c:pt>
                  <c:pt idx="21">
                    <c:v>0.29148509395850764</c:v>
                  </c:pt>
                  <c:pt idx="22">
                    <c:v>0.25400976359187449</c:v>
                  </c:pt>
                  <c:pt idx="23">
                    <c:v>0.16203012065662367</c:v>
                  </c:pt>
                  <c:pt idx="24">
                    <c:v>0</c:v>
                  </c:pt>
                  <c:pt idx="25">
                    <c:v>9.2699999999999991E-2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</c:numCache>
              </c:numRef>
            </c:plus>
            <c:minus>
              <c:numRef>
                <c:f>Dataset_analysis!$S$125:$S$164</c:f>
                <c:numCache>
                  <c:formatCode>General</c:formatCode>
                  <c:ptCount val="40"/>
                  <c:pt idx="0">
                    <c:v>6.8234888436927571E-3</c:v>
                  </c:pt>
                  <c:pt idx="1">
                    <c:v>7.5339232807349514E-3</c:v>
                  </c:pt>
                  <c:pt idx="2">
                    <c:v>1.0613670430157525E-2</c:v>
                  </c:pt>
                  <c:pt idx="3">
                    <c:v>1.3836184445142393E-2</c:v>
                  </c:pt>
                  <c:pt idx="4">
                    <c:v>1.1618950038622259E-2</c:v>
                  </c:pt>
                  <c:pt idx="5">
                    <c:v>1.7453079957417236E-2</c:v>
                  </c:pt>
                  <c:pt idx="6">
                    <c:v>9.9879927913470272E-3</c:v>
                  </c:pt>
                  <c:pt idx="7">
                    <c:v>8.3450584180100075E-3</c:v>
                  </c:pt>
                  <c:pt idx="8">
                    <c:v>3.5574710118284898E-2</c:v>
                  </c:pt>
                  <c:pt idx="9">
                    <c:v>1.9032866310674277E-2</c:v>
                  </c:pt>
                  <c:pt idx="10">
                    <c:v>1.3414917070187216E-2</c:v>
                  </c:pt>
                  <c:pt idx="11">
                    <c:v>0.19216193691779865</c:v>
                  </c:pt>
                  <c:pt idx="12">
                    <c:v>6.3749509802036967E-3</c:v>
                  </c:pt>
                  <c:pt idx="13">
                    <c:v>1.4411453778158534E-2</c:v>
                  </c:pt>
                  <c:pt idx="14">
                    <c:v>1.9656042327996767E-2</c:v>
                  </c:pt>
                  <c:pt idx="15">
                    <c:v>1.4847221962373985E-2</c:v>
                  </c:pt>
                  <c:pt idx="16">
                    <c:v>1.7420964382031223E-2</c:v>
                  </c:pt>
                  <c:pt idx="17">
                    <c:v>0.25271240571052311</c:v>
                  </c:pt>
                  <c:pt idx="18">
                    <c:v>0.12687493842363057</c:v>
                  </c:pt>
                  <c:pt idx="19">
                    <c:v>0.26051333938975174</c:v>
                  </c:pt>
                  <c:pt idx="20">
                    <c:v>0.28483812947005538</c:v>
                  </c:pt>
                  <c:pt idx="21">
                    <c:v>0.29148509395850764</c:v>
                  </c:pt>
                  <c:pt idx="22">
                    <c:v>0.25400976359187449</c:v>
                  </c:pt>
                  <c:pt idx="23">
                    <c:v>0.16203012065662367</c:v>
                  </c:pt>
                  <c:pt idx="24">
                    <c:v>0</c:v>
                  </c:pt>
                  <c:pt idx="25">
                    <c:v>9.2699999999999991E-2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Dataset_analysis!$B$125:$B$164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</c:numCache>
            </c:numRef>
          </c:xVal>
          <c:yVal>
            <c:numRef>
              <c:f>Dataset_analysis!$R$125:$R$164</c:f>
              <c:numCache>
                <c:formatCode>0.000</c:formatCode>
                <c:ptCount val="40"/>
                <c:pt idx="0">
                  <c:v>0.68619999999999981</c:v>
                </c:pt>
                <c:pt idx="1">
                  <c:v>0.66379999999999995</c:v>
                </c:pt>
                <c:pt idx="2">
                  <c:v>0.65550000000000008</c:v>
                </c:pt>
                <c:pt idx="3">
                  <c:v>0.64139999999999997</c:v>
                </c:pt>
                <c:pt idx="4">
                  <c:v>0.66099999999999992</c:v>
                </c:pt>
                <c:pt idx="5">
                  <c:v>0.68070000000000008</c:v>
                </c:pt>
                <c:pt idx="6">
                  <c:v>0.66320000000000001</c:v>
                </c:pt>
                <c:pt idx="7">
                  <c:v>0.6794</c:v>
                </c:pt>
                <c:pt idx="8">
                  <c:v>0.62119999999999997</c:v>
                </c:pt>
                <c:pt idx="9">
                  <c:v>0.65350000000000008</c:v>
                </c:pt>
                <c:pt idx="10">
                  <c:v>0.63480000000000003</c:v>
                </c:pt>
                <c:pt idx="11">
                  <c:v>0.56730000000000003</c:v>
                </c:pt>
                <c:pt idx="12">
                  <c:v>0.6654000000000001</c:v>
                </c:pt>
                <c:pt idx="13">
                  <c:v>0.66510000000000002</c:v>
                </c:pt>
                <c:pt idx="14">
                  <c:v>0.61319999999999997</c:v>
                </c:pt>
                <c:pt idx="15">
                  <c:v>0.66339999999999999</c:v>
                </c:pt>
                <c:pt idx="16">
                  <c:v>0.62790000000000001</c:v>
                </c:pt>
                <c:pt idx="17">
                  <c:v>0.50480000000000003</c:v>
                </c:pt>
                <c:pt idx="18">
                  <c:v>0.61150000000000004</c:v>
                </c:pt>
                <c:pt idx="19">
                  <c:v>0.503</c:v>
                </c:pt>
                <c:pt idx="20">
                  <c:v>0.43479999999999996</c:v>
                </c:pt>
                <c:pt idx="21">
                  <c:v>0.1908</c:v>
                </c:pt>
                <c:pt idx="22">
                  <c:v>0.29480000000000001</c:v>
                </c:pt>
                <c:pt idx="23">
                  <c:v>0.58079999999999998</c:v>
                </c:pt>
                <c:pt idx="24">
                  <c:v>0</c:v>
                </c:pt>
                <c:pt idx="25">
                  <c:v>3.09E-2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E-4C47-8BB5-437024CE7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95728"/>
        <c:axId val="849397408"/>
      </c:scatterChart>
      <c:valAx>
        <c:axId val="849395728"/>
        <c:scaling>
          <c:orientation val="minMax"/>
          <c:max val="18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7408"/>
        <c:crosses val="autoZero"/>
        <c:crossBetween val="midCat"/>
        <c:majorUnit val="30"/>
      </c:valAx>
      <c:valAx>
        <c:axId val="849397408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493957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522281244128645"/>
          <c:y val="9.8208454206382079E-2"/>
          <c:w val="0.32961074008915914"/>
          <c:h val="0.16290406627105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774700</xdr:colOff>
      <xdr:row>12</xdr:row>
      <xdr:rowOff>190500</xdr:rowOff>
    </xdr:from>
    <xdr:to>
      <xdr:col>50</xdr:col>
      <xdr:colOff>266700</xdr:colOff>
      <xdr:row>34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F0E8537-4366-D34C-9357-A118D5474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533400</xdr:colOff>
      <xdr:row>12</xdr:row>
      <xdr:rowOff>165100</xdr:rowOff>
    </xdr:from>
    <xdr:to>
      <xdr:col>64</xdr:col>
      <xdr:colOff>25400</xdr:colOff>
      <xdr:row>34</xdr:row>
      <xdr:rowOff>127000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F7F5278-7F55-9846-AAEE-C0289392D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482600</xdr:colOff>
      <xdr:row>12</xdr:row>
      <xdr:rowOff>152400</xdr:rowOff>
    </xdr:from>
    <xdr:to>
      <xdr:col>56</xdr:col>
      <xdr:colOff>787400</xdr:colOff>
      <xdr:row>34</xdr:row>
      <xdr:rowOff>114300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AF7FED9-8CC4-A24E-B8C3-81C045F8B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266700</xdr:colOff>
      <xdr:row>55</xdr:row>
      <xdr:rowOff>165100</xdr:rowOff>
    </xdr:from>
    <xdr:to>
      <xdr:col>42</xdr:col>
      <xdr:colOff>25400</xdr:colOff>
      <xdr:row>77</xdr:row>
      <xdr:rowOff>66322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7A3F534-6E8A-A940-BF25-C42352791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266700</xdr:colOff>
      <xdr:row>55</xdr:row>
      <xdr:rowOff>165100</xdr:rowOff>
    </xdr:from>
    <xdr:to>
      <xdr:col>36</xdr:col>
      <xdr:colOff>25400</xdr:colOff>
      <xdr:row>77</xdr:row>
      <xdr:rowOff>66322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5C4D214-EED3-1A4F-B33F-38B2BCB4A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266700</xdr:colOff>
      <xdr:row>55</xdr:row>
      <xdr:rowOff>165100</xdr:rowOff>
    </xdr:from>
    <xdr:to>
      <xdr:col>48</xdr:col>
      <xdr:colOff>25400</xdr:colOff>
      <xdr:row>77</xdr:row>
      <xdr:rowOff>66322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12D63E1-A088-A647-9B9A-F17805C96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77</xdr:col>
      <xdr:colOff>419100</xdr:colOff>
      <xdr:row>12</xdr:row>
      <xdr:rowOff>101600</xdr:rowOff>
    </xdr:from>
    <xdr:to>
      <xdr:col>83</xdr:col>
      <xdr:colOff>190500</xdr:colOff>
      <xdr:row>34</xdr:row>
      <xdr:rowOff>2822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FA8D85FB-6832-D943-AAEE-8534930D4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38100</xdr:colOff>
      <xdr:row>13</xdr:row>
      <xdr:rowOff>76200</xdr:rowOff>
    </xdr:from>
    <xdr:to>
      <xdr:col>30</xdr:col>
      <xdr:colOff>254000</xdr:colOff>
      <xdr:row>34</xdr:row>
      <xdr:rowOff>180622</xdr:rowOff>
    </xdr:to>
    <xdr:graphicFrame macro="">
      <xdr:nvGraphicFramePr>
        <xdr:cNvPr id="11" name="グラフ 5">
          <a:extLst>
            <a:ext uri="{FF2B5EF4-FFF2-40B4-BE49-F238E27FC236}">
              <a16:creationId xmlns:a16="http://schemas.microsoft.com/office/drawing/2014/main" id="{5880CDDB-39F9-D54D-9005-4E784BE2B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419100</xdr:colOff>
      <xdr:row>13</xdr:row>
      <xdr:rowOff>50800</xdr:rowOff>
    </xdr:from>
    <xdr:to>
      <xdr:col>36</xdr:col>
      <xdr:colOff>635000</xdr:colOff>
      <xdr:row>34</xdr:row>
      <xdr:rowOff>155222</xdr:rowOff>
    </xdr:to>
    <xdr:graphicFrame macro="">
      <xdr:nvGraphicFramePr>
        <xdr:cNvPr id="12" name="グラフ 4">
          <a:extLst>
            <a:ext uri="{FF2B5EF4-FFF2-40B4-BE49-F238E27FC236}">
              <a16:creationId xmlns:a16="http://schemas.microsoft.com/office/drawing/2014/main" id="{B605B24E-8191-8349-87C8-186A5AE78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38100</xdr:colOff>
      <xdr:row>13</xdr:row>
      <xdr:rowOff>12700</xdr:rowOff>
    </xdr:from>
    <xdr:to>
      <xdr:col>43</xdr:col>
      <xdr:colOff>254000</xdr:colOff>
      <xdr:row>34</xdr:row>
      <xdr:rowOff>117122</xdr:rowOff>
    </xdr:to>
    <xdr:graphicFrame macro="">
      <xdr:nvGraphicFramePr>
        <xdr:cNvPr id="13" name="グラフ 6">
          <a:extLst>
            <a:ext uri="{FF2B5EF4-FFF2-40B4-BE49-F238E27FC236}">
              <a16:creationId xmlns:a16="http://schemas.microsoft.com/office/drawing/2014/main" id="{D36F66C4-AFE0-454E-93DA-770108EA5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1-d" connectionId="43" xr16:uid="{B8F9088E-5B5B-A54D-B957-C2988ED97C24}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5" connectionId="160" xr16:uid="{31FA6B3D-DD1C-5F4B-A52A-C178A4BA4F79}" autoFormatId="2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4-d" connectionId="55" xr16:uid="{0C92F658-3739-1545-97D1-B6C73AA41FDC}" autoFormatId="2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3-d-w30m" connectionId="10" xr16:uid="{91016D09-7B1E-4C43-8A59-10BF9EF8BD6B}" autoFormatId="2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4-d-w30m-w1d" connectionId="13" xr16:uid="{AB8A7D98-EEAE-FE4D-B690-85C9C4766588}" autoFormatId="2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3-d" connectionId="71" xr16:uid="{823B4056-F05D-B543-8138-17D1BB3EF6F0}" autoFormatId="2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2-d-w30m" connectionId="126" xr16:uid="{45EF8721-C57F-0340-95C1-7F78691B8400}" autoFormatId="2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5-d-w30m" connectionId="138" xr16:uid="{6CA42FBE-5E71-824F-B413-E04C1FCC0EEE}" autoFormatId="2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3" connectionId="92" xr16:uid="{568598AC-629E-9E41-B318-72D61C4030C2}" autoFormatId="2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3-d-w30m-w1d" connectionId="69" xr16:uid="{F87B6F28-9C19-4A4F-8541-9029240F0AEE}" autoFormatId="2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3" connectionId="12" xr16:uid="{3AC5D465-58D2-8745-BC73-C4AED53FCF72}" autoFormatId="20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3-d" connectionId="131" xr16:uid="{22D7942F-94FA-4F44-B249-4716F46D1A83}" autoFormatId="20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5-d-w30m-w1d" connectionId="77" xr16:uid="{B3DFC0EE-07C7-B444-B525-E2CB373FF95B}" autoFormatId="20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3" connectionId="52" xr16:uid="{307A7A36-5338-8C4E-A5F9-CFDCEF023CB2}" autoFormatId="20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5" connectionId="60" xr16:uid="{1A9C4B34-52AE-0244-B8DD-804EEDB1925F}" autoFormatId="20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5-d-w30m" connectionId="38" xr16:uid="{8D78596E-1948-F64D-BB88-D9646999B9DA}" autoFormatId="20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1-d-w30m" connectionId="3" xr16:uid="{290EC7C4-E299-9242-A941-4837013E7BA9}" autoFormatId="20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5-d" connectionId="59" xr16:uid="{4E7BDFDD-D96E-DD4B-AE4E-208BF85E22BF}" autoFormatId="20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3" connectionId="32" xr16:uid="{3AE5C707-D01A-ED4F-9C5A-BCCB2656594E}" autoFormatId="20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1-d-w30m-w1d" connectionId="2" xr16:uid="{89C53D2F-01B3-234F-8B82-5B74B610D905}" autoFormatId="20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2-d-w30m" connectionId="26" xr16:uid="{B3760492-CB40-4B43-9F2C-8225F23BA5BC}" autoFormatId="20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5-d-w30m-w1d" connectionId="117" xr16:uid="{4BD1E972-54C5-364D-9E0A-0126E28F8793}" autoFormatId="20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1-d" connectionId="4" xr16:uid="{3C5B2500-0EEC-AD46-A993-92D69166B867}" autoFormatId="20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5" connectionId="80" xr16:uid="{B60EB432-6CDD-4548-80AC-A98E8BC3A44B}" autoFormatId="20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4-d-w30m" connectionId="94" xr16:uid="{44F85CB9-78A8-EE47-81CB-75C2AD57515F}" autoFormatId="20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1" connectionId="44" xr16:uid="{3C8CB1C5-2105-1442-BC10-EFD175FBADD1}" autoFormatId="20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3-d" connectionId="51" xr16:uid="{7858D500-44DF-C844-B51F-5B3D3383D045}" autoFormatId="20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3-d-w30m" connectionId="130" xr16:uid="{E4DA4505-7A86-C24A-84D1-45160673A321}" autoFormatId="20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2" connectionId="68" xr16:uid="{90109BD2-3F60-E44C-BC0A-CD4B97387FAF}" autoFormatId="20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4" connectionId="56" xr16:uid="{2B03218E-F69A-A240-B729-A6F132A761C4}" autoFormatId="20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5-d-w30m" connectionId="98" xr16:uid="{FAC60DCF-FF95-A743-81F4-CA8ADCF9D4D0}" autoFormatId="20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3-d-w30m" connectionId="30" xr16:uid="{2B2A82CB-0D62-6E48-BE81-AE20F19869FF}" autoFormatId="20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2-d" connectionId="67" xr16:uid="{6FCC412D-44C8-2F49-9581-8D1FB0DACBB9}" autoFormatId="20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4-d-w30m-w1d" connectionId="73" xr16:uid="{C2CDB2CB-9AED-EC4E-9B5F-DF5B896009A8}" autoFormatId="20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2-d-w30m-w1d" connectionId="125" xr16:uid="{E9F06DAE-6531-F449-98F4-C2C9C357B36D}" autoFormatId="20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2" connectionId="88" xr16:uid="{D861925B-971B-7B43-BC8C-04C6531F324D}" autoFormatId="20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1" connectionId="144" xr16:uid="{FC1CE951-A028-194E-9864-E0784DC8EB2B}" autoFormatId="20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5-d" connectionId="119" xr16:uid="{D953D880-4447-8C41-A341-8CB718E0E893}" autoFormatId="20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4-d-w30m-w1d" connectionId="53" xr16:uid="{0EEBF5E4-F447-BA4B-BE80-B5C302D2323C}" autoFormatId="20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4" connectionId="96" xr16:uid="{9A370F52-5479-324D-B412-394B48D28182}" autoFormatId="20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5-d-w30m" connectionId="58" xr16:uid="{B047EFE0-E091-F04B-81E4-1DD468F54D77}" autoFormatId="20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4" connectionId="136" xr16:uid="{BD7A454C-432C-D34E-8AE0-B49117194B35}" autoFormatId="20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4" connectionId="156" xr16:uid="{0A4B25EB-6E56-8141-9596-95A0AF08F8AE}" autoFormatId="20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5-d-w30m-w1d" connectionId="37" xr16:uid="{A38EF3CE-121E-2C4F-8F7D-1209323EF787}" autoFormatId="20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2-d-w30m-w1d" connectionId="85" xr16:uid="{89671C21-B04F-BF45-A777-6B975492C9F0}" autoFormatId="20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2-d-w30m" connectionId="86" xr16:uid="{427AE800-89F0-6446-AB11-D14E9F4C7BC4}" autoFormatId="20" applyNumberFormats="0" applyBorderFormats="0" applyFontFormats="1" applyPatternFormats="1" applyAlignmentFormats="0" applyWidthHeightFormats="0"/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1-d" connectionId="123" xr16:uid="{C969D924-92BD-384B-8409-95616CE4A3D9}" autoFormatId="20" applyNumberFormats="0" applyBorderFormats="0" applyFontFormats="1" applyPatternFormats="1" applyAlignmentFormats="0" applyWidthHeightFormats="0"/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1-d" connectionId="143" xr16:uid="{F4560626-574B-B94D-A3AE-1B91CD7EA802}" autoFormatId="20" applyNumberFormats="0" applyBorderFormats="0" applyFontFormats="1" applyPatternFormats="1" applyAlignmentFormats="0" applyWidthHeightFormats="0"/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2-d-w30m-w1d" connectionId="145" xr16:uid="{64EB9DCC-B8BB-DD4F-BBCA-EA9B1A248CDC}" autoFormatId="20" applyNumberFormats="0" applyBorderFormats="0" applyFontFormats="1" applyPatternFormats="1" applyAlignmentFormats="0" applyWidthHeightFormats="0"/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2-d-w30m" connectionId="66" xr16:uid="{F5074B3F-FFCD-9941-8974-E3F591F9C733}" autoFormatId="20" applyNumberFormats="0" applyBorderFormats="0" applyFontFormats="1" applyPatternFormats="1" applyAlignmentFormats="0" applyWidthHeightFormats="0"/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2" connectionId="28" xr16:uid="{DFF4067C-311A-164F-9898-ED8985412BE1}" autoFormatId="20" applyNumberFormats="0" applyBorderFormats="0" applyFontFormats="1" applyPatternFormats="1" applyAlignmentFormats="0" applyWidthHeightFormats="0"/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4-d" connectionId="155" xr16:uid="{4A5C9B90-4B73-5742-A10B-759C51AF1C2D}" autoFormatId="20" applyNumberFormats="0" applyBorderFormats="0" applyFontFormats="1" applyPatternFormats="1" applyAlignmentFormats="0" applyWidthHeightFormats="0"/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5-d" connectionId="99" xr16:uid="{B02A36B7-FB13-394A-8928-159C23A5AE8B}" autoFormatId="20" applyNumberFormats="0" applyBorderFormats="0" applyFontFormats="1" applyPatternFormats="1" applyAlignmentFormats="0" applyWidthHeightFormats="0"/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5-d-w30m-w1d" connectionId="97" xr16:uid="{360ECAF6-2907-FC4D-B5EB-6A5BE834D1E0}" autoFormatId="20" applyNumberFormats="0" applyBorderFormats="0" applyFontFormats="1" applyPatternFormats="1" applyAlignmentFormats="0" applyWidthHeightFormats="0"/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3" connectionId="112" xr16:uid="{C5E56E00-BD05-CE4B-B642-BDFC041C8B7E}" autoFormatId="20" applyNumberFormats="0" applyBorderFormats="0" applyFontFormats="1" applyPatternFormats="1" applyAlignmentFormats="0" applyWidthHeightFormats="0"/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2-d" connectionId="127" xr16:uid="{C0BEDEA7-7FA7-1F44-A5B9-944EE9B76288}" autoFormatId="20" applyNumberFormats="0" applyBorderFormats="0" applyFontFormats="1" applyPatternFormats="1" applyAlignmentFormats="0" applyWidthHeightFormats="0"/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2-d-w30m" connectionId="106" xr16:uid="{F0EB65C4-B66A-6A4A-8B46-2FFBE34CF4EE}" autoFormatId="20" applyNumberFormats="0" applyBorderFormats="0" applyFontFormats="1" applyPatternFormats="1" applyAlignmentFormats="0" applyWidthHeightFormats="0"/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3" connectionId="152" xr16:uid="{76D70957-E4FC-704C-B39A-33539052C945}" autoFormatId="20" applyNumberFormats="0" applyBorderFormats="0" applyFontFormats="1" applyPatternFormats="1" applyAlignmentFormats="0" applyWidthHeightFormats="0"/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3-d-w30m" connectionId="90" xr16:uid="{6E1A9936-2B9B-E64F-ACF4-D6E1DD1B64D1}" autoFormatId="20" applyNumberFormats="0" applyBorderFormats="0" applyFontFormats="1" applyPatternFormats="1" applyAlignmentFormats="0" applyWidthHeightFormats="0"/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3" connectionId="72" xr16:uid="{CD8A86D2-07AB-6F48-A93E-1C7E9A8B8D1F}" autoFormatId="20" applyNumberFormats="0" applyBorderFormats="0" applyFontFormats="1" applyPatternFormats="1" applyAlignmentFormats="0" applyWidthHeightFormats="0"/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5-d-w30m" connectionId="78" xr16:uid="{DD1A4FE3-2141-7540-9389-30DDBC532E75}" autoFormatId="20" applyNumberFormats="0" applyBorderFormats="0" applyFontFormats="1" applyPatternFormats="1" applyAlignmentFormats="0" applyWidthHeightFormats="0"/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2-d-w30m" connectionId="146" xr16:uid="{22AC9BEA-CFDE-A343-8C64-FC620FE4BD3B}" autoFormatId="20" applyNumberFormats="0" applyBorderFormats="0" applyFontFormats="1" applyPatternFormats="1" applyAlignmentFormats="0" applyWidthHeightFormats="0"/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1-d" connectionId="103" xr16:uid="{4883EDE6-0869-D44E-BC55-8F186FEC943A}" autoFormatId="20" applyNumberFormats="0" applyBorderFormats="0" applyFontFormats="1" applyPatternFormats="1" applyAlignmentFormats="0" applyWidthHeightFormats="0"/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1-d" connectionId="83" xr16:uid="{45621946-66F8-134C-8439-98EA701C7A09}" autoFormatId="20" applyNumberFormats="0" applyBorderFormats="0" applyFontFormats="1" applyPatternFormats="1" applyAlignmentFormats="0" applyWidthHeightFormats="0"/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3-d-w30m" connectionId="110" xr16:uid="{9C6409CC-88EF-0B4F-9AD5-D5591B0F7FFC}" autoFormatId="20" applyNumberFormats="0" applyBorderFormats="0" applyFontFormats="1" applyPatternFormats="1" applyAlignmentFormats="0" applyWidthHeightFormats="0"/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4-d-w30m-w1d" connectionId="113" xr16:uid="{424B9932-3E5F-3640-B75F-1CEC3ECD1056}" autoFormatId="20" applyNumberFormats="0" applyBorderFormats="0" applyFontFormats="1" applyPatternFormats="1" applyAlignmentFormats="0" applyWidthHeightFormats="0"/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5" connectionId="20" xr16:uid="{BDF56363-A460-4447-8AFF-4C5A08841D02}" autoFormatId="20" applyNumberFormats="0" applyBorderFormats="0" applyFontFormats="1" applyPatternFormats="1" applyAlignmentFormats="0" applyWidthHeightFormats="0"/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4" connectionId="16" xr16:uid="{F746245C-B3FC-F642-978E-F273A662843E}" autoFormatId="20" applyNumberFormats="0" applyBorderFormats="0" applyFontFormats="1" applyPatternFormats="1" applyAlignmentFormats="0" applyWidthHeightFormats="0"/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5-d-w30m-w1d" connectionId="157" xr16:uid="{A2D53D35-84EB-0749-A6D2-97A07408185D}" autoFormatId="20" applyNumberFormats="0" applyBorderFormats="0" applyFontFormats="1" applyPatternFormats="1" applyAlignmentFormats="0" applyWidthHeightFormats="0"/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1-d-w30m" connectionId="22" xr16:uid="{1BE8ED12-877E-0A48-939F-8E38B3182096}" autoFormatId="20" applyNumberFormats="0" applyBorderFormats="0" applyFontFormats="1" applyPatternFormats="1" applyAlignmentFormats="0" applyWidthHeightFormats="0"/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2" connectionId="108" xr16:uid="{B3A400D8-C398-9842-9AB8-8C17C068630E}" autoFormatId="20" applyNumberFormats="0" applyBorderFormats="0" applyFontFormats="1" applyPatternFormats="1" applyAlignmentFormats="0" applyWidthHeightFormats="0"/>
</file>

<file path=xl/queryTables/queryTable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4-d-w30m" connectionId="54" xr16:uid="{1F418915-57D5-794F-994C-C457CF5E8FEC}" autoFormatId="20" applyNumberFormats="0" applyBorderFormats="0" applyFontFormats="1" applyPatternFormats="1" applyAlignmentFormats="0" applyWidthHeightFormats="0"/>
</file>

<file path=xl/queryTables/queryTable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1-d-w30m-w1d" connectionId="21" xr16:uid="{21645CB7-C056-A14B-916B-E98670AFD1B9}" autoFormatId="20" applyNumberFormats="0" applyBorderFormats="0" applyFontFormats="1" applyPatternFormats="1" applyAlignmentFormats="0" applyWidthHeightFormats="0"/>
</file>

<file path=xl/queryTables/queryTable7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4-d-w30m-w1d" connectionId="33" xr16:uid="{5969810F-8F24-EC4B-9A3C-869A2ECA7B31}" autoFormatId="20" applyNumberFormats="0" applyBorderFormats="0" applyFontFormats="1" applyPatternFormats="1" applyAlignmentFormats="0" applyWidthHeightFormats="0"/>
</file>

<file path=xl/queryTables/queryTable7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2-d-w30m-w1d" connectionId="105" xr16:uid="{97113D39-A1D3-4944-A6A7-F535A154F874}" autoFormatId="20" applyNumberFormats="0" applyBorderFormats="0" applyFontFormats="1" applyPatternFormats="1" applyAlignmentFormats="0" applyWidthHeightFormats="0"/>
</file>

<file path=xl/queryTables/queryTable7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5" connectionId="140" xr16:uid="{7DB1C230-537E-F948-A3B6-4F53058AD55A}" autoFormatId="20" applyNumberFormats="0" applyBorderFormats="0" applyFontFormats="1" applyPatternFormats="1" applyAlignmentFormats="0" applyWidthHeightFormats="0"/>
</file>

<file path=xl/queryTables/queryTable7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4-d-w30m" connectionId="74" xr16:uid="{00F95B4A-3A69-AF47-96CA-D231F05A7B03}" autoFormatId="20" applyNumberFormats="0" applyBorderFormats="0" applyFontFormats="1" applyPatternFormats="1" applyAlignmentFormats="0" applyWidthHeightFormats="0"/>
</file>

<file path=xl/queryTables/queryTable7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2-d-w30m-w1d" connectionId="5" xr16:uid="{C53AC376-2992-084F-A242-5057997D9EC5}" autoFormatId="20" applyNumberFormats="0" applyBorderFormats="0" applyFontFormats="1" applyPatternFormats="1" applyAlignmentFormats="0" applyWidthHeightFormats="0"/>
</file>

<file path=xl/queryTables/queryTable7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5" connectionId="120" xr16:uid="{2D82BB39-2D93-394A-9F80-B7AE2D9E3664}" autoFormatId="20" applyNumberFormats="0" applyBorderFormats="0" applyFontFormats="1" applyPatternFormats="1" applyAlignmentFormats="0" applyWidthHeightFormats="0"/>
</file>

<file path=xl/queryTables/queryTable8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4-d" connectionId="15" xr16:uid="{100D6060-C9CE-024F-B4E6-9047F032069D}" autoFormatId="20" applyNumberFormats="0" applyBorderFormats="0" applyFontFormats="1" applyPatternFormats="1" applyAlignmentFormats="0" applyWidthHeightFormats="0"/>
</file>

<file path=xl/queryTables/queryTable8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20820-0m-1" connectionId="1" xr16:uid="{087250D1-CB02-9749-B4A0-6009A4A67087}" autoFormatId="20" applyNumberFormats="0" applyBorderFormats="0" applyFontFormats="1" applyPatternFormats="1" applyAlignmentFormats="0" applyWidthHeightFormats="0"/>
</file>

<file path=xl/queryTables/queryTable8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5-d-w30m" connectionId="158" xr16:uid="{0DBE529A-1582-3941-BA42-20F8F2374B22}" autoFormatId="20" applyNumberFormats="0" applyBorderFormats="0" applyFontFormats="1" applyPatternFormats="1" applyAlignmentFormats="0" applyWidthHeightFormats="0"/>
</file>

<file path=xl/queryTables/queryTable8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5" connectionId="100" xr16:uid="{35CAD07C-E815-0F48-B390-0CE07FBB9C04}" autoFormatId="20" applyNumberFormats="0" applyBorderFormats="0" applyFontFormats="1" applyPatternFormats="1" applyAlignmentFormats="0" applyWidthHeightFormats="0"/>
</file>

<file path=xl/queryTables/queryTable8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5-d-w30m-w1d" connectionId="137" xr16:uid="{1C2604A2-1050-C448-97CA-9EDC9D394E37}" autoFormatId="20" applyNumberFormats="0" applyBorderFormats="0" applyFontFormats="1" applyPatternFormats="1" applyAlignmentFormats="0" applyWidthHeightFormats="0"/>
</file>

<file path=xl/queryTables/queryTable8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4-d" connectionId="75" xr16:uid="{371491EE-016C-4345-AB6F-F76E37160FE8}" autoFormatId="20" applyNumberFormats="0" applyBorderFormats="0" applyFontFormats="1" applyPatternFormats="1" applyAlignmentFormats="0" applyWidthHeightFormats="0"/>
</file>

<file path=xl/queryTables/queryTable8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1-d-w30m" connectionId="142" xr16:uid="{C30B5405-113B-1141-A3FA-36ABBA05C619}" autoFormatId="20" applyNumberFormats="0" applyBorderFormats="0" applyFontFormats="1" applyPatternFormats="1" applyAlignmentFormats="0" applyWidthHeightFormats="0"/>
</file>

<file path=xl/queryTables/queryTable8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2" connectionId="148" xr16:uid="{59702932-59F6-7848-B5F5-5CFBC1D17CEE}" autoFormatId="20" applyNumberFormats="0" applyBorderFormats="0" applyFontFormats="1" applyPatternFormats="1" applyAlignmentFormats="0" applyWidthHeightFormats="0"/>
</file>

<file path=xl/queryTables/queryTable8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1" connectionId="104" xr16:uid="{E4149950-19A5-874F-97C2-EDF3D748202D}" autoFormatId="20" applyNumberFormats="0" applyBorderFormats="0" applyFontFormats="1" applyPatternFormats="1" applyAlignmentFormats="0" applyWidthHeightFormats="0"/>
</file>

<file path=xl/queryTables/queryTable8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5-d" connectionId="79" xr16:uid="{74D93DDD-CE25-644F-A9E2-3975B7009607}" autoFormatId="20" applyNumberFormats="0" applyBorderFormats="0" applyFontFormats="1" applyPatternFormats="1" applyAlignmentFormats="0" applyWidthHeightFormats="0"/>
</file>

<file path=xl/queryTables/queryTable9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4-d-w30m-w1d" connectionId="153" xr16:uid="{D1A8899F-C2AA-FC4D-ADA9-9F1E4E42B82E}" autoFormatId="20" applyNumberFormats="0" applyBorderFormats="0" applyFontFormats="1" applyPatternFormats="1" applyAlignmentFormats="0" applyWidthHeightFormats="0"/>
</file>

<file path=xl/queryTables/queryTable9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3-d" connectionId="151" xr16:uid="{C4A90B55-A723-4840-909C-A0AD762807EC}" autoFormatId="20" applyNumberFormats="0" applyBorderFormats="0" applyFontFormats="1" applyPatternFormats="1" applyAlignmentFormats="0" applyWidthHeightFormats="0"/>
</file>

<file path=xl/queryTables/queryTable9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4" connectionId="116" xr16:uid="{A5BABA01-1446-8B49-B6DA-4CEB89C5233F}" autoFormatId="20" applyNumberFormats="0" applyBorderFormats="0" applyFontFormats="1" applyPatternFormats="1" applyAlignmentFormats="0" applyWidthHeightFormats="0"/>
</file>

<file path=xl/queryTables/queryTable9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2-d" connectionId="7" xr16:uid="{37F0DC0E-53F7-8E4F-9878-B858B90C7399}" autoFormatId="20" applyNumberFormats="0" applyBorderFormats="0" applyFontFormats="1" applyPatternFormats="1" applyAlignmentFormats="0" applyWidthHeightFormats="0"/>
</file>

<file path=xl/queryTables/queryTable9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1-d" connectionId="23" xr16:uid="{0BCE9E48-ADC7-A04E-A50A-D2EE1A776BF0}" autoFormatId="20" applyNumberFormats="0" applyBorderFormats="0" applyFontFormats="1" applyPatternFormats="1" applyAlignmentFormats="0" applyWidthHeightFormats="0"/>
</file>

<file path=xl/queryTables/queryTable9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2" connectionId="128" xr16:uid="{5A1D5024-2CEC-BB4B-B47A-ADB37F5B154D}" autoFormatId="20" applyNumberFormats="0" applyBorderFormats="0" applyFontFormats="1" applyPatternFormats="1" applyAlignmentFormats="0" applyWidthHeightFormats="0"/>
</file>

<file path=xl/queryTables/queryTable9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5-d" connectionId="139" xr16:uid="{2C5F4D1C-637A-AC42-AC44-83D207567EB5}" autoFormatId="20" applyNumberFormats="0" applyBorderFormats="0" applyFontFormats="1" applyPatternFormats="1" applyAlignmentFormats="0" applyWidthHeightFormats="0"/>
</file>

<file path=xl/queryTables/queryTable9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4-d" connectionId="135" xr16:uid="{325E83BD-C0C9-3645-913F-13EF6C123334}" autoFormatId="20" applyNumberFormats="0" applyBorderFormats="0" applyFontFormats="1" applyPatternFormats="1" applyAlignmentFormats="0" applyWidthHeightFormats="0"/>
</file>

<file path=xl/queryTables/queryTable9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3-d" connectionId="111" xr16:uid="{941B9355-5EF0-D043-8D22-AAA95FF0B211}" autoFormatId="20" applyNumberFormats="0" applyBorderFormats="0" applyFontFormats="1" applyPatternFormats="1" applyAlignmentFormats="0" applyWidthHeightFormats="0"/>
</file>

<file path=xl/queryTables/queryTable9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1-d-w30m-w1d" connectionId="61" xr16:uid="{894A3160-3749-DD44-8C1F-3FD8CC38A3AC}" autoFormatId="20" applyNumberFormats="0" applyBorderFormats="0" applyFontFormats="1" applyPatternFormats="1" applyAlignmentFormats="0" applyWidthHeightFormats="0"/>
</file>

<file path=xl/queryTables/queryTable10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4" connectionId="76" xr16:uid="{6AB433D7-C300-DE4F-A65D-A62C188AAE52}" autoFormatId="20" applyNumberFormats="0" applyBorderFormats="0" applyFontFormats="1" applyPatternFormats="1" applyAlignmentFormats="0" applyWidthHeightFormats="0"/>
</file>

<file path=xl/queryTables/queryTable10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5-d-w30m" connectionId="118" xr16:uid="{8415A7CE-3D99-EF4E-8776-84AD127F898A}" autoFormatId="20" applyNumberFormats="0" applyBorderFormats="0" applyFontFormats="1" applyPatternFormats="1" applyAlignmentFormats="0" applyWidthHeightFormats="0"/>
</file>

<file path=xl/queryTables/queryTable10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4-d-w30m" connectionId="134" xr16:uid="{3668A4D8-7B90-3243-A9D1-3E316B103E8E}" autoFormatId="20" applyNumberFormats="0" applyBorderFormats="0" applyFontFormats="1" applyPatternFormats="1" applyAlignmentFormats="0" applyWidthHeightFormats="0"/>
</file>

<file path=xl/queryTables/queryTable10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4-d" connectionId="35" xr16:uid="{B7C20812-B85A-7C40-BA5C-78E2088E26F3}" autoFormatId="20" applyNumberFormats="0" applyBorderFormats="0" applyFontFormats="1" applyPatternFormats="1" applyAlignmentFormats="0" applyWidthHeightFormats="0"/>
</file>

<file path=xl/queryTables/queryTable10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5-d-w30m-w1d" connectionId="57" xr16:uid="{D47A5DA7-F7D3-F74F-A421-11721DCD1A57}" autoFormatId="20" applyNumberFormats="0" applyBorderFormats="0" applyFontFormats="1" applyPatternFormats="1" applyAlignmentFormats="0" applyWidthHeightFormats="0"/>
</file>

<file path=xl/queryTables/queryTable10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5" connectionId="40" xr16:uid="{9C261340-1682-6D47-B739-9C3CBC862CB5}" autoFormatId="20" applyNumberFormats="0" applyBorderFormats="0" applyFontFormats="1" applyPatternFormats="1" applyAlignmentFormats="0" applyWidthHeightFormats="0"/>
</file>

<file path=xl/queryTables/queryTable10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3-d-w30m-w1d" connectionId="149" xr16:uid="{3458303E-0AE3-5C49-B5C4-ED746B74FF4B}" autoFormatId="20" applyNumberFormats="0" applyBorderFormats="0" applyFontFormats="1" applyPatternFormats="1" applyAlignmentFormats="0" applyWidthHeightFormats="0"/>
</file>

<file path=xl/queryTables/queryTable10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2-d-w30m" connectionId="6" xr16:uid="{0299743F-BBE3-AA47-BA89-5037479D8063}" autoFormatId="20" applyNumberFormats="0" applyBorderFormats="0" applyFontFormats="1" applyPatternFormats="1" applyAlignmentFormats="0" applyWidthHeightFormats="0"/>
</file>

<file path=xl/queryTables/queryTable10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4-d-w30m" connectionId="114" xr16:uid="{CE7D18DA-4AB5-494A-A94B-70B3C89BDA8B}" autoFormatId="20" applyNumberFormats="0" applyBorderFormats="0" applyFontFormats="1" applyPatternFormats="1" applyAlignmentFormats="0" applyWidthHeightFormats="0"/>
</file>

<file path=xl/queryTables/queryTable10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3-d-w30m-w1d" connectionId="89" xr16:uid="{35C33AC6-17C0-314C-9487-B677E3453446}" autoFormatId="20" applyNumberFormats="0" applyBorderFormats="0" applyFontFormats="1" applyPatternFormats="1" applyAlignmentFormats="0" applyWidthHeightFormats="0"/>
</file>

<file path=xl/queryTables/queryTable1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2" connectionId="48" xr16:uid="{620B4A53-B42D-094C-A159-3107602D9C4A}" autoFormatId="20" applyNumberFormats="0" applyBorderFormats="0" applyFontFormats="1" applyPatternFormats="1" applyAlignmentFormats="0" applyWidthHeightFormats="0"/>
</file>

<file path=xl/queryTables/queryTable1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3-d-w30m" connectionId="150" xr16:uid="{C5BCE953-86F8-9840-B227-00C1D85B7E42}" autoFormatId="20" applyNumberFormats="0" applyBorderFormats="0" applyFontFormats="1" applyPatternFormats="1" applyAlignmentFormats="0" applyWidthHeightFormats="0"/>
</file>

<file path=xl/queryTables/queryTable1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1-d-w30m-w1d" connectionId="81" xr16:uid="{DB0928D8-D05C-284A-891A-5041E1794901}" autoFormatId="20" applyNumberFormats="0" applyBorderFormats="0" applyFontFormats="1" applyPatternFormats="1" applyAlignmentFormats="0" applyWidthHeightFormats="0"/>
</file>

<file path=xl/queryTables/queryTable1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4-d-w30m-w1d" connectionId="133" xr16:uid="{0B04B0F5-3D9E-2648-8354-27060F147AC1}" autoFormatId="20" applyNumberFormats="0" applyBorderFormats="0" applyFontFormats="1" applyPatternFormats="1" applyAlignmentFormats="0" applyWidthHeightFormats="0"/>
</file>

<file path=xl/queryTables/queryTable1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5-d" connectionId="39" xr16:uid="{5C5ACAB1-9648-4446-A2CE-0B652816A89F}" autoFormatId="20" applyNumberFormats="0" applyBorderFormats="0" applyFontFormats="1" applyPatternFormats="1" applyAlignmentFormats="0" applyWidthHeightFormats="0"/>
</file>

<file path=xl/queryTables/queryTable1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3-d-w30m-w1d" connectionId="109" xr16:uid="{D1619538-4E60-024A-9C4C-3A04D9F5AC41}" autoFormatId="20" applyNumberFormats="0" applyBorderFormats="0" applyFontFormats="1" applyPatternFormats="1" applyAlignmentFormats="0" applyWidthHeightFormats="0"/>
</file>

<file path=xl/queryTables/queryTable1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1" connectionId="64" xr16:uid="{523A6739-A7AD-1E47-A03F-0452AD81FB0C}" autoFormatId="20" applyNumberFormats="0" applyBorderFormats="0" applyFontFormats="1" applyPatternFormats="1" applyAlignmentFormats="0" applyWidthHeightFormats="0"/>
</file>

<file path=xl/queryTables/queryTable1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1-d-w30m-w1d" connectionId="121" xr16:uid="{E5998FCA-C808-0E42-8C1D-D96AD591D39C}" autoFormatId="20" applyNumberFormats="0" applyBorderFormats="0" applyFontFormats="1" applyPatternFormats="1" applyAlignmentFormats="0" applyWidthHeightFormats="0"/>
</file>

<file path=xl/queryTables/queryTable1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1-d-w30m" connectionId="62" xr16:uid="{EDC1FB5A-27FF-2444-8D01-64A0BB76D008}" autoFormatId="20" applyNumberFormats="0" applyBorderFormats="0" applyFontFormats="1" applyPatternFormats="1" applyAlignmentFormats="0" applyWidthHeightFormats="0"/>
</file>

<file path=xl/queryTables/queryTable1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5-d" connectionId="159" xr16:uid="{2C138E1A-5C8D-8042-831F-D1BA1FC6617B}" autoFormatId="20" applyNumberFormats="0" applyBorderFormats="0" applyFontFormats="1" applyPatternFormats="1" applyAlignmentFormats="0" applyWidthHeightFormats="0"/>
</file>

<file path=xl/queryTables/queryTable1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1-d-w30m" connectionId="42" xr16:uid="{5EA8F118-D865-784E-9556-1F7B15B27A65}" autoFormatId="20" applyNumberFormats="0" applyBorderFormats="0" applyFontFormats="1" applyPatternFormats="1" applyAlignmentFormats="0" applyWidthHeightFormats="0"/>
</file>

<file path=xl/queryTables/queryTable1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3-d-w30m-w1d" connectionId="129" xr16:uid="{8C923375-EF2C-1F40-B064-92EC111EE4C2}" autoFormatId="20" applyNumberFormats="0" applyBorderFormats="0" applyFontFormats="1" applyPatternFormats="1" applyAlignmentFormats="0" applyWidthHeightFormats="0"/>
</file>

<file path=xl/queryTables/queryTable1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2-d" connectionId="147" xr16:uid="{65B4173F-FD24-CB40-B861-BD2C8A78A7CD}" autoFormatId="20" applyNumberFormats="0" applyBorderFormats="0" applyFontFormats="1" applyPatternFormats="1" applyAlignmentFormats="0" applyWidthHeightFormats="0"/>
</file>

<file path=xl/queryTables/queryTable1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2-d" connectionId="27" xr16:uid="{E6EDC5C0-F4F8-FE48-99CD-ED083B95059E}" autoFormatId="20" applyNumberFormats="0" applyBorderFormats="0" applyFontFormats="1" applyPatternFormats="1" applyAlignmentFormats="0" applyWidthHeightFormats="0"/>
</file>

<file path=xl/queryTables/queryTable1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2-d-w30m-w1d" connectionId="45" xr16:uid="{F196C38D-A79C-CF4B-A0F2-622D7AE0A198}" autoFormatId="20" applyNumberFormats="0" applyBorderFormats="0" applyFontFormats="1" applyPatternFormats="1" applyAlignmentFormats="0" applyWidthHeightFormats="0"/>
</file>

<file path=xl/queryTables/queryTable1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2" connectionId="8" xr16:uid="{F69CBEE3-8F49-4C46-B297-ED3EDBADA527}" autoFormatId="20" applyNumberFormats="0" applyBorderFormats="0" applyFontFormats="1" applyPatternFormats="1" applyAlignmentFormats="0" applyWidthHeightFormats="0"/>
</file>

<file path=xl/queryTables/queryTable1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1-d-w30m" connectionId="122" xr16:uid="{8281F816-DB43-0746-BF64-9654395BCEDD}" autoFormatId="20" applyNumberFormats="0" applyBorderFormats="0" applyFontFormats="1" applyPatternFormats="1" applyAlignmentFormats="0" applyWidthHeightFormats="0"/>
</file>

<file path=xl/queryTables/queryTable1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4" connectionId="36" xr16:uid="{7C3ECD4B-CA38-2940-A25E-86DCD7262802}" autoFormatId="20" applyNumberFormats="0" applyBorderFormats="0" applyFontFormats="1" applyPatternFormats="1" applyAlignmentFormats="0" applyWidthHeightFormats="0"/>
</file>

<file path=xl/queryTables/queryTable1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1-d-再指定" connectionId="63" xr16:uid="{A3B1F0FE-2051-2548-ABBD-4CFB9C39F2EA}" autoFormatId="20" applyNumberFormats="0" applyBorderFormats="0" applyFontFormats="1" applyPatternFormats="1" applyAlignmentFormats="0" applyWidthHeightFormats="0"/>
</file>

<file path=xl/queryTables/queryTable1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1" connectionId="124" xr16:uid="{14DDFA21-CF82-3644-9E26-2F59B6282F97}" autoFormatId="20" applyNumberFormats="0" applyBorderFormats="0" applyFontFormats="1" applyPatternFormats="1" applyAlignmentFormats="0" applyWidthHeightFormats="0"/>
</file>

<file path=xl/queryTables/queryTable1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4-d-w30m" connectionId="14" xr16:uid="{3D63667E-C7E7-CA40-A209-7D35E517A971}" autoFormatId="20" applyNumberFormats="0" applyBorderFormats="0" applyFontFormats="1" applyPatternFormats="1" applyAlignmentFormats="0" applyWidthHeightFormats="0"/>
</file>

<file path=xl/queryTables/queryTable1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4-d-w30m" connectionId="154" xr16:uid="{FBAC761F-2AE9-224A-9A86-36BB05AB97AE}" autoFormatId="20" applyNumberFormats="0" applyBorderFormats="0" applyFontFormats="1" applyPatternFormats="1" applyAlignmentFormats="0" applyWidthHeightFormats="0"/>
</file>

<file path=xl/queryTables/queryTable1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3-d-w30m" connectionId="50" xr16:uid="{0F30B99F-AF76-1446-9AB9-45772034140B}" autoFormatId="20" applyNumberFormats="0" applyBorderFormats="0" applyFontFormats="1" applyPatternFormats="1" applyAlignmentFormats="0" applyWidthHeightFormats="0"/>
</file>

<file path=xl/queryTables/queryTable1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2-d-w30m" connectionId="46" xr16:uid="{90EC038D-F3D2-6B44-A9E3-5040EED46043}" autoFormatId="20" applyNumberFormats="0" applyBorderFormats="0" applyFontFormats="1" applyPatternFormats="1" applyAlignmentFormats="0" applyWidthHeightFormats="0"/>
</file>

<file path=xl/queryTables/queryTable1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4-d" connectionId="95" xr16:uid="{1C7BC7DF-D1B4-C740-89DF-C7322C9468CA}" autoFormatId="20" applyNumberFormats="0" applyBorderFormats="0" applyFontFormats="1" applyPatternFormats="1" applyAlignmentFormats="0" applyWidthHeightFormats="0"/>
</file>

<file path=xl/queryTables/queryTable1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2-d" connectionId="87" xr16:uid="{2E38FDAF-5FAE-BF4F-99C7-BC1407CFC522}" autoFormatId="20" applyNumberFormats="0" applyBorderFormats="0" applyFontFormats="1" applyPatternFormats="1" applyAlignmentFormats="0" applyWidthHeightFormats="0"/>
</file>

<file path=xl/queryTables/queryTable1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3-d-w30m-w1d" connectionId="49" xr16:uid="{763BA67D-72BC-9F41-9F45-6D0B1B515F5F}" autoFormatId="20" applyNumberFormats="0" applyBorderFormats="0" applyFontFormats="1" applyPatternFormats="1" applyAlignmentFormats="0" applyWidthHeightFormats="0"/>
</file>

<file path=xl/queryTables/queryTable1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5-d-w30m-w1d" connectionId="17" xr16:uid="{9882B698-BA13-EF4E-8C47-6C13AC52D65A}" autoFormatId="20" applyNumberFormats="0" applyBorderFormats="0" applyFontFormats="1" applyPatternFormats="1" applyAlignmentFormats="0" applyWidthHeightFormats="0"/>
</file>

<file path=xl/queryTables/queryTable1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4-d-w30m" connectionId="34" xr16:uid="{EE614C8C-847F-B948-B561-8592B241587F}" autoFormatId="20" applyNumberFormats="0" applyBorderFormats="0" applyFontFormats="1" applyPatternFormats="1" applyAlignmentFormats="0" applyWidthHeightFormats="0"/>
</file>

<file path=xl/queryTables/queryTable1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1" connectionId="24" xr16:uid="{F8FCD69A-4AB0-6141-91EC-4B08D3D002A2}" autoFormatId="20" applyNumberFormats="0" applyBorderFormats="0" applyFontFormats="1" applyPatternFormats="1" applyAlignmentFormats="0" applyWidthHeightFormats="0"/>
</file>

<file path=xl/queryTables/queryTable1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3-d-w30m" connectionId="70" xr16:uid="{EF79FDA5-DCB1-FD47-B481-2ECC409074F9}" autoFormatId="20" applyNumberFormats="0" applyBorderFormats="0" applyFontFormats="1" applyPatternFormats="1" applyAlignmentFormats="0" applyWidthHeightFormats="0"/>
</file>

<file path=xl/queryTables/queryTable1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3-d-w30m-w1d-再指定" connectionId="29" xr16:uid="{47AAF4A6-CA19-3A45-AF5B-B3159D3C5C9E}" autoFormatId="20" applyNumberFormats="0" applyBorderFormats="0" applyFontFormats="1" applyPatternFormats="1" applyAlignmentFormats="0" applyWidthHeightFormats="0"/>
</file>

<file path=xl/queryTables/queryTable1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4-d-w30m-w1d" connectionId="93" xr16:uid="{C05385AB-F7CC-CC49-A7DC-38FB4A068DBB}" autoFormatId="20" applyNumberFormats="0" applyBorderFormats="0" applyFontFormats="1" applyPatternFormats="1" applyAlignmentFormats="0" applyWidthHeightFormats="0"/>
</file>

<file path=xl/queryTables/queryTable1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2-d" connectionId="47" xr16:uid="{7E10A872-8A12-A24E-A8AB-5423F95C9C06}" autoFormatId="20" applyNumberFormats="0" applyBorderFormats="0" applyFontFormats="1" applyPatternFormats="1" applyAlignmentFormats="0" applyWidthHeightFormats="0"/>
</file>

<file path=xl/queryTables/queryTable1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2-d-w30m-w1d" connectionId="25" xr16:uid="{7709124A-36B4-9243-987E-16EEC21B7FFC}" autoFormatId="20" applyNumberFormats="0" applyBorderFormats="0" applyFontFormats="1" applyPatternFormats="1" applyAlignmentFormats="0" applyWidthHeightFormats="0"/>
</file>

<file path=xl/queryTables/queryTable1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1-d-w30m" connectionId="102" xr16:uid="{9E9A19FB-DB4C-7F47-A8C4-DEE5C8C9D1C2}" autoFormatId="20" applyNumberFormats="0" applyBorderFormats="0" applyFontFormats="1" applyPatternFormats="1" applyAlignmentFormats="0" applyWidthHeightFormats="0"/>
</file>

<file path=xl/queryTables/queryTable1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0m-2-d-w30m-w1d" connectionId="65" xr16:uid="{F1F63593-FD6B-4A4B-B36D-9E8FE59E4703}" autoFormatId="20" applyNumberFormats="0" applyBorderFormats="0" applyFontFormats="1" applyPatternFormats="1" applyAlignmentFormats="0" applyWidthHeightFormats="0"/>
</file>

<file path=xl/queryTables/queryTable1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45m-1-d-w30m-w1d" connectionId="141" xr16:uid="{A0204ABB-D507-CD4B-8C20-18C28D781475}" autoFormatId="20" applyNumberFormats="0" applyBorderFormats="0" applyFontFormats="1" applyPatternFormats="1" applyAlignmentFormats="0" applyWidthHeightFormats="0"/>
</file>

<file path=xl/queryTables/queryTable1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1-d-w30m" connectionId="82" xr16:uid="{268301F1-32F5-054F-96BA-62F974FDE63C}" autoFormatId="20" applyNumberFormats="0" applyBorderFormats="0" applyFontFormats="1" applyPatternFormats="1" applyAlignmentFormats="0" applyWidthHeightFormats="0"/>
</file>

<file path=xl/queryTables/queryTable1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4-d" connectionId="115" xr16:uid="{E052FA9B-09D0-3748-B0BA-5CAD92202EA2}" autoFormatId="20" applyNumberFormats="0" applyBorderFormats="0" applyFontFormats="1" applyPatternFormats="1" applyAlignmentFormats="0" applyWidthHeightFormats="0"/>
</file>

<file path=xl/queryTables/queryTable1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3-d-w30m-w1d" connectionId="9" xr16:uid="{F98863B5-5AC4-C645-A728-0D0DBD589E89}" autoFormatId="20" applyNumberFormats="0" applyBorderFormats="0" applyFontFormats="1" applyPatternFormats="1" applyAlignmentFormats="0" applyWidthHeightFormats="0"/>
</file>

<file path=xl/queryTables/queryTable1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1-d-w30m-w1d" connectionId="101" xr16:uid="{0EDBE6E9-CF3F-5D45-8463-D43387C712DF}" autoFormatId="20" applyNumberFormats="0" applyBorderFormats="0" applyFontFormats="1" applyPatternFormats="1" applyAlignmentFormats="0" applyWidthHeightFormats="0"/>
</file>

<file path=xl/queryTables/queryTable1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5-d-w30m" connectionId="18" xr16:uid="{DC6962B2-0A39-1A44-9992-7B882B788A94}" autoFormatId="20" applyNumberFormats="0" applyBorderFormats="0" applyFontFormats="1" applyPatternFormats="1" applyAlignmentFormats="0" applyWidthHeightFormats="0"/>
</file>

<file path=xl/queryTables/queryTable1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h-3" connectionId="132" xr16:uid="{49E1D11F-BA36-CA45-AF86-A1E830BDCB55}" autoFormatId="20" applyNumberFormats="0" applyBorderFormats="0" applyFontFormats="1" applyPatternFormats="1" applyAlignmentFormats="0" applyWidthHeightFormats="0"/>
</file>

<file path=xl/queryTables/queryTable1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h-1-d-w30m-w1d" connectionId="41" xr16:uid="{46D6C96D-6CF2-F64D-9652-332BB751B92E}" autoFormatId="20" applyNumberFormats="0" applyBorderFormats="0" applyFontFormats="1" applyPatternFormats="1" applyAlignmentFormats="0" applyWidthHeightFormats="0"/>
</file>

<file path=xl/queryTables/queryTable1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30m-2-d" connectionId="107" xr16:uid="{1514A3B2-7E8C-704A-9492-E554DA31C0D6}" autoFormatId="20" applyNumberFormats="0" applyBorderFormats="0" applyFontFormats="1" applyPatternFormats="1" applyAlignmentFormats="0" applyWidthHeightFormats="0"/>
</file>

<file path=xl/queryTables/queryTable1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3-d" connectionId="11" xr16:uid="{34666613-2828-FB46-984F-28AAF174E218}" autoFormatId="20" applyNumberFormats="0" applyBorderFormats="0" applyFontFormats="1" applyPatternFormats="1" applyAlignmentFormats="0" applyWidthHeightFormats="0"/>
</file>

<file path=xl/queryTables/queryTable1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0m-5-d" connectionId="19" xr16:uid="{7959E593-6CFA-F945-AA14-DB76FD6D35D7}" autoFormatId="20" applyNumberFormats="0" applyBorderFormats="0" applyFontFormats="1" applyPatternFormats="1" applyAlignmentFormats="0" applyWidthHeightFormats="0"/>
</file>

<file path=xl/queryTables/queryTable1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10m-3-d" connectionId="31" xr16:uid="{5E6D65E0-B0EB-4142-AE39-0D957ECFAFAE}" autoFormatId="20" applyNumberFormats="0" applyBorderFormats="0" applyFontFormats="1" applyPatternFormats="1" applyAlignmentFormats="0" applyWidthHeightFormats="0"/>
</file>

<file path=xl/queryTables/queryTable1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1" connectionId="84" xr16:uid="{2B55C202-7E24-FA4E-824A-C70D635B9DAD}" autoFormatId="20" applyNumberFormats="0" applyBorderFormats="0" applyFontFormats="1" applyPatternFormats="1" applyAlignmentFormats="0" applyWidthHeightFormats="0"/>
</file>

<file path=xl/queryTables/queryTable1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-2h-3-d" connectionId="91" xr16:uid="{21BE25AB-3E9F-B847-9C10-889E60E6D720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queryTable" Target="../queryTables/queryTable116.xml"/><Relationship Id="rId21" Type="http://schemas.openxmlformats.org/officeDocument/2006/relationships/queryTable" Target="../queryTables/queryTable20.xml"/><Relationship Id="rId42" Type="http://schemas.openxmlformats.org/officeDocument/2006/relationships/queryTable" Target="../queryTables/queryTable41.xml"/><Relationship Id="rId63" Type="http://schemas.openxmlformats.org/officeDocument/2006/relationships/queryTable" Target="../queryTables/queryTable62.xml"/><Relationship Id="rId84" Type="http://schemas.openxmlformats.org/officeDocument/2006/relationships/queryTable" Target="../queryTables/queryTable83.xml"/><Relationship Id="rId138" Type="http://schemas.openxmlformats.org/officeDocument/2006/relationships/queryTable" Target="../queryTables/queryTable137.xml"/><Relationship Id="rId159" Type="http://schemas.openxmlformats.org/officeDocument/2006/relationships/queryTable" Target="../queryTables/queryTable158.xml"/><Relationship Id="rId107" Type="http://schemas.openxmlformats.org/officeDocument/2006/relationships/queryTable" Target="../queryTables/queryTable106.xml"/><Relationship Id="rId11" Type="http://schemas.openxmlformats.org/officeDocument/2006/relationships/queryTable" Target="../queryTables/queryTable10.xml"/><Relationship Id="rId32" Type="http://schemas.openxmlformats.org/officeDocument/2006/relationships/queryTable" Target="../queryTables/queryTable31.xml"/><Relationship Id="rId53" Type="http://schemas.openxmlformats.org/officeDocument/2006/relationships/queryTable" Target="../queryTables/queryTable52.xml"/><Relationship Id="rId74" Type="http://schemas.openxmlformats.org/officeDocument/2006/relationships/queryTable" Target="../queryTables/queryTable73.xml"/><Relationship Id="rId128" Type="http://schemas.openxmlformats.org/officeDocument/2006/relationships/queryTable" Target="../queryTables/queryTable127.xml"/><Relationship Id="rId149" Type="http://schemas.openxmlformats.org/officeDocument/2006/relationships/queryTable" Target="../queryTables/queryTable148.xml"/><Relationship Id="rId5" Type="http://schemas.openxmlformats.org/officeDocument/2006/relationships/queryTable" Target="../queryTables/queryTable4.xml"/><Relationship Id="rId95" Type="http://schemas.openxmlformats.org/officeDocument/2006/relationships/queryTable" Target="../queryTables/queryTable94.xml"/><Relationship Id="rId160" Type="http://schemas.openxmlformats.org/officeDocument/2006/relationships/queryTable" Target="../queryTables/queryTable159.xml"/><Relationship Id="rId22" Type="http://schemas.openxmlformats.org/officeDocument/2006/relationships/queryTable" Target="../queryTables/queryTable21.xml"/><Relationship Id="rId43" Type="http://schemas.openxmlformats.org/officeDocument/2006/relationships/queryTable" Target="../queryTables/queryTable42.xml"/><Relationship Id="rId64" Type="http://schemas.openxmlformats.org/officeDocument/2006/relationships/queryTable" Target="../queryTables/queryTable63.xml"/><Relationship Id="rId118" Type="http://schemas.openxmlformats.org/officeDocument/2006/relationships/queryTable" Target="../queryTables/queryTable117.xml"/><Relationship Id="rId139" Type="http://schemas.openxmlformats.org/officeDocument/2006/relationships/queryTable" Target="../queryTables/queryTable138.xml"/><Relationship Id="rId85" Type="http://schemas.openxmlformats.org/officeDocument/2006/relationships/queryTable" Target="../queryTables/queryTable84.xml"/><Relationship Id="rId150" Type="http://schemas.openxmlformats.org/officeDocument/2006/relationships/queryTable" Target="../queryTables/queryTable149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33" Type="http://schemas.openxmlformats.org/officeDocument/2006/relationships/queryTable" Target="../queryTables/queryTable32.xml"/><Relationship Id="rId38" Type="http://schemas.openxmlformats.org/officeDocument/2006/relationships/queryTable" Target="../queryTables/queryTable37.xml"/><Relationship Id="rId59" Type="http://schemas.openxmlformats.org/officeDocument/2006/relationships/queryTable" Target="../queryTables/queryTable58.xml"/><Relationship Id="rId103" Type="http://schemas.openxmlformats.org/officeDocument/2006/relationships/queryTable" Target="../queryTables/queryTable102.xml"/><Relationship Id="rId108" Type="http://schemas.openxmlformats.org/officeDocument/2006/relationships/queryTable" Target="../queryTables/queryTable107.xml"/><Relationship Id="rId124" Type="http://schemas.openxmlformats.org/officeDocument/2006/relationships/queryTable" Target="../queryTables/queryTable123.xml"/><Relationship Id="rId129" Type="http://schemas.openxmlformats.org/officeDocument/2006/relationships/queryTable" Target="../queryTables/queryTable128.xml"/><Relationship Id="rId54" Type="http://schemas.openxmlformats.org/officeDocument/2006/relationships/queryTable" Target="../queryTables/queryTable53.xml"/><Relationship Id="rId70" Type="http://schemas.openxmlformats.org/officeDocument/2006/relationships/queryTable" Target="../queryTables/queryTable69.xml"/><Relationship Id="rId75" Type="http://schemas.openxmlformats.org/officeDocument/2006/relationships/queryTable" Target="../queryTables/queryTable74.xml"/><Relationship Id="rId91" Type="http://schemas.openxmlformats.org/officeDocument/2006/relationships/queryTable" Target="../queryTables/queryTable90.xml"/><Relationship Id="rId96" Type="http://schemas.openxmlformats.org/officeDocument/2006/relationships/queryTable" Target="../queryTables/queryTable95.xml"/><Relationship Id="rId140" Type="http://schemas.openxmlformats.org/officeDocument/2006/relationships/queryTable" Target="../queryTables/queryTable139.xml"/><Relationship Id="rId145" Type="http://schemas.openxmlformats.org/officeDocument/2006/relationships/queryTable" Target="../queryTables/queryTable144.xml"/><Relationship Id="rId161" Type="http://schemas.openxmlformats.org/officeDocument/2006/relationships/queryTable" Target="../queryTables/queryTable160.xml"/><Relationship Id="rId1" Type="http://schemas.openxmlformats.org/officeDocument/2006/relationships/drawing" Target="../drawings/drawing1.xml"/><Relationship Id="rId6" Type="http://schemas.openxmlformats.org/officeDocument/2006/relationships/queryTable" Target="../queryTables/queryTable5.xml"/><Relationship Id="rId23" Type="http://schemas.openxmlformats.org/officeDocument/2006/relationships/queryTable" Target="../queryTables/queryTable22.xml"/><Relationship Id="rId28" Type="http://schemas.openxmlformats.org/officeDocument/2006/relationships/queryTable" Target="../queryTables/queryTable27.xml"/><Relationship Id="rId49" Type="http://schemas.openxmlformats.org/officeDocument/2006/relationships/queryTable" Target="../queryTables/queryTable48.xml"/><Relationship Id="rId114" Type="http://schemas.openxmlformats.org/officeDocument/2006/relationships/queryTable" Target="../queryTables/queryTable113.xml"/><Relationship Id="rId119" Type="http://schemas.openxmlformats.org/officeDocument/2006/relationships/queryTable" Target="../queryTables/queryTable118.xml"/><Relationship Id="rId44" Type="http://schemas.openxmlformats.org/officeDocument/2006/relationships/queryTable" Target="../queryTables/queryTable43.xml"/><Relationship Id="rId60" Type="http://schemas.openxmlformats.org/officeDocument/2006/relationships/queryTable" Target="../queryTables/queryTable59.xml"/><Relationship Id="rId65" Type="http://schemas.openxmlformats.org/officeDocument/2006/relationships/queryTable" Target="../queryTables/queryTable64.xml"/><Relationship Id="rId81" Type="http://schemas.openxmlformats.org/officeDocument/2006/relationships/queryTable" Target="../queryTables/queryTable80.xml"/><Relationship Id="rId86" Type="http://schemas.openxmlformats.org/officeDocument/2006/relationships/queryTable" Target="../queryTables/queryTable85.xml"/><Relationship Id="rId130" Type="http://schemas.openxmlformats.org/officeDocument/2006/relationships/queryTable" Target="../queryTables/queryTable129.xml"/><Relationship Id="rId135" Type="http://schemas.openxmlformats.org/officeDocument/2006/relationships/queryTable" Target="../queryTables/queryTable134.xml"/><Relationship Id="rId151" Type="http://schemas.openxmlformats.org/officeDocument/2006/relationships/queryTable" Target="../queryTables/queryTable150.xml"/><Relationship Id="rId156" Type="http://schemas.openxmlformats.org/officeDocument/2006/relationships/queryTable" Target="../queryTables/queryTable155.xml"/><Relationship Id="rId13" Type="http://schemas.openxmlformats.org/officeDocument/2006/relationships/queryTable" Target="../queryTables/queryTable12.xml"/><Relationship Id="rId18" Type="http://schemas.openxmlformats.org/officeDocument/2006/relationships/queryTable" Target="../queryTables/queryTable17.xml"/><Relationship Id="rId39" Type="http://schemas.openxmlformats.org/officeDocument/2006/relationships/queryTable" Target="../queryTables/queryTable38.xml"/><Relationship Id="rId109" Type="http://schemas.openxmlformats.org/officeDocument/2006/relationships/queryTable" Target="../queryTables/queryTable108.xml"/><Relationship Id="rId34" Type="http://schemas.openxmlformats.org/officeDocument/2006/relationships/queryTable" Target="../queryTables/queryTable33.xml"/><Relationship Id="rId50" Type="http://schemas.openxmlformats.org/officeDocument/2006/relationships/queryTable" Target="../queryTables/queryTable49.xml"/><Relationship Id="rId55" Type="http://schemas.openxmlformats.org/officeDocument/2006/relationships/queryTable" Target="../queryTables/queryTable54.xml"/><Relationship Id="rId76" Type="http://schemas.openxmlformats.org/officeDocument/2006/relationships/queryTable" Target="../queryTables/queryTable75.xml"/><Relationship Id="rId97" Type="http://schemas.openxmlformats.org/officeDocument/2006/relationships/queryTable" Target="../queryTables/queryTable96.xml"/><Relationship Id="rId104" Type="http://schemas.openxmlformats.org/officeDocument/2006/relationships/queryTable" Target="../queryTables/queryTable103.xml"/><Relationship Id="rId120" Type="http://schemas.openxmlformats.org/officeDocument/2006/relationships/queryTable" Target="../queryTables/queryTable119.xml"/><Relationship Id="rId125" Type="http://schemas.openxmlformats.org/officeDocument/2006/relationships/queryTable" Target="../queryTables/queryTable124.xml"/><Relationship Id="rId141" Type="http://schemas.openxmlformats.org/officeDocument/2006/relationships/queryTable" Target="../queryTables/queryTable140.xml"/><Relationship Id="rId146" Type="http://schemas.openxmlformats.org/officeDocument/2006/relationships/queryTable" Target="../queryTables/queryTable145.xml"/><Relationship Id="rId7" Type="http://schemas.openxmlformats.org/officeDocument/2006/relationships/queryTable" Target="../queryTables/queryTable6.xml"/><Relationship Id="rId71" Type="http://schemas.openxmlformats.org/officeDocument/2006/relationships/queryTable" Target="../queryTables/queryTable70.xml"/><Relationship Id="rId92" Type="http://schemas.openxmlformats.org/officeDocument/2006/relationships/queryTable" Target="../queryTables/queryTable91.xml"/><Relationship Id="rId2" Type="http://schemas.openxmlformats.org/officeDocument/2006/relationships/queryTable" Target="../queryTables/queryTable1.xml"/><Relationship Id="rId29" Type="http://schemas.openxmlformats.org/officeDocument/2006/relationships/queryTable" Target="../queryTables/queryTable28.xml"/><Relationship Id="rId24" Type="http://schemas.openxmlformats.org/officeDocument/2006/relationships/queryTable" Target="../queryTables/queryTable23.xml"/><Relationship Id="rId40" Type="http://schemas.openxmlformats.org/officeDocument/2006/relationships/queryTable" Target="../queryTables/queryTable39.xml"/><Relationship Id="rId45" Type="http://schemas.openxmlformats.org/officeDocument/2006/relationships/queryTable" Target="../queryTables/queryTable44.xml"/><Relationship Id="rId66" Type="http://schemas.openxmlformats.org/officeDocument/2006/relationships/queryTable" Target="../queryTables/queryTable65.xml"/><Relationship Id="rId87" Type="http://schemas.openxmlformats.org/officeDocument/2006/relationships/queryTable" Target="../queryTables/queryTable86.xml"/><Relationship Id="rId110" Type="http://schemas.openxmlformats.org/officeDocument/2006/relationships/queryTable" Target="../queryTables/queryTable109.xml"/><Relationship Id="rId115" Type="http://schemas.openxmlformats.org/officeDocument/2006/relationships/queryTable" Target="../queryTables/queryTable114.xml"/><Relationship Id="rId131" Type="http://schemas.openxmlformats.org/officeDocument/2006/relationships/queryTable" Target="../queryTables/queryTable130.xml"/><Relationship Id="rId136" Type="http://schemas.openxmlformats.org/officeDocument/2006/relationships/queryTable" Target="../queryTables/queryTable135.xml"/><Relationship Id="rId157" Type="http://schemas.openxmlformats.org/officeDocument/2006/relationships/queryTable" Target="../queryTables/queryTable156.xml"/><Relationship Id="rId61" Type="http://schemas.openxmlformats.org/officeDocument/2006/relationships/queryTable" Target="../queryTables/queryTable60.xml"/><Relationship Id="rId82" Type="http://schemas.openxmlformats.org/officeDocument/2006/relationships/queryTable" Target="../queryTables/queryTable81.xml"/><Relationship Id="rId152" Type="http://schemas.openxmlformats.org/officeDocument/2006/relationships/queryTable" Target="../queryTables/queryTable151.xml"/><Relationship Id="rId19" Type="http://schemas.openxmlformats.org/officeDocument/2006/relationships/queryTable" Target="../queryTables/queryTable18.xml"/><Relationship Id="rId14" Type="http://schemas.openxmlformats.org/officeDocument/2006/relationships/queryTable" Target="../queryTables/queryTable13.xml"/><Relationship Id="rId30" Type="http://schemas.openxmlformats.org/officeDocument/2006/relationships/queryTable" Target="../queryTables/queryTable29.xml"/><Relationship Id="rId35" Type="http://schemas.openxmlformats.org/officeDocument/2006/relationships/queryTable" Target="../queryTables/queryTable34.xml"/><Relationship Id="rId56" Type="http://schemas.openxmlformats.org/officeDocument/2006/relationships/queryTable" Target="../queryTables/queryTable55.xml"/><Relationship Id="rId77" Type="http://schemas.openxmlformats.org/officeDocument/2006/relationships/queryTable" Target="../queryTables/queryTable76.xml"/><Relationship Id="rId100" Type="http://schemas.openxmlformats.org/officeDocument/2006/relationships/queryTable" Target="../queryTables/queryTable99.xml"/><Relationship Id="rId105" Type="http://schemas.openxmlformats.org/officeDocument/2006/relationships/queryTable" Target="../queryTables/queryTable104.xml"/><Relationship Id="rId126" Type="http://schemas.openxmlformats.org/officeDocument/2006/relationships/queryTable" Target="../queryTables/queryTable125.xml"/><Relationship Id="rId147" Type="http://schemas.openxmlformats.org/officeDocument/2006/relationships/queryTable" Target="../queryTables/queryTable146.xml"/><Relationship Id="rId8" Type="http://schemas.openxmlformats.org/officeDocument/2006/relationships/queryTable" Target="../queryTables/queryTable7.xml"/><Relationship Id="rId51" Type="http://schemas.openxmlformats.org/officeDocument/2006/relationships/queryTable" Target="../queryTables/queryTable50.xml"/><Relationship Id="rId72" Type="http://schemas.openxmlformats.org/officeDocument/2006/relationships/queryTable" Target="../queryTables/queryTable71.xml"/><Relationship Id="rId93" Type="http://schemas.openxmlformats.org/officeDocument/2006/relationships/queryTable" Target="../queryTables/queryTable92.xml"/><Relationship Id="rId98" Type="http://schemas.openxmlformats.org/officeDocument/2006/relationships/queryTable" Target="../queryTables/queryTable97.xml"/><Relationship Id="rId121" Type="http://schemas.openxmlformats.org/officeDocument/2006/relationships/queryTable" Target="../queryTables/queryTable120.xml"/><Relationship Id="rId142" Type="http://schemas.openxmlformats.org/officeDocument/2006/relationships/queryTable" Target="../queryTables/queryTable141.xml"/><Relationship Id="rId3" Type="http://schemas.openxmlformats.org/officeDocument/2006/relationships/queryTable" Target="../queryTables/queryTable2.xml"/><Relationship Id="rId25" Type="http://schemas.openxmlformats.org/officeDocument/2006/relationships/queryTable" Target="../queryTables/queryTable24.xml"/><Relationship Id="rId46" Type="http://schemas.openxmlformats.org/officeDocument/2006/relationships/queryTable" Target="../queryTables/queryTable45.xml"/><Relationship Id="rId67" Type="http://schemas.openxmlformats.org/officeDocument/2006/relationships/queryTable" Target="../queryTables/queryTable66.xml"/><Relationship Id="rId116" Type="http://schemas.openxmlformats.org/officeDocument/2006/relationships/queryTable" Target="../queryTables/queryTable115.xml"/><Relationship Id="rId137" Type="http://schemas.openxmlformats.org/officeDocument/2006/relationships/queryTable" Target="../queryTables/queryTable136.xml"/><Relationship Id="rId158" Type="http://schemas.openxmlformats.org/officeDocument/2006/relationships/queryTable" Target="../queryTables/queryTable157.xml"/><Relationship Id="rId20" Type="http://schemas.openxmlformats.org/officeDocument/2006/relationships/queryTable" Target="../queryTables/queryTable19.xml"/><Relationship Id="rId41" Type="http://schemas.openxmlformats.org/officeDocument/2006/relationships/queryTable" Target="../queryTables/queryTable40.xml"/><Relationship Id="rId62" Type="http://schemas.openxmlformats.org/officeDocument/2006/relationships/queryTable" Target="../queryTables/queryTable61.xml"/><Relationship Id="rId83" Type="http://schemas.openxmlformats.org/officeDocument/2006/relationships/queryTable" Target="../queryTables/queryTable82.xml"/><Relationship Id="rId88" Type="http://schemas.openxmlformats.org/officeDocument/2006/relationships/queryTable" Target="../queryTables/queryTable87.xml"/><Relationship Id="rId111" Type="http://schemas.openxmlformats.org/officeDocument/2006/relationships/queryTable" Target="../queryTables/queryTable110.xml"/><Relationship Id="rId132" Type="http://schemas.openxmlformats.org/officeDocument/2006/relationships/queryTable" Target="../queryTables/queryTable131.xml"/><Relationship Id="rId153" Type="http://schemas.openxmlformats.org/officeDocument/2006/relationships/queryTable" Target="../queryTables/queryTable152.xml"/><Relationship Id="rId15" Type="http://schemas.openxmlformats.org/officeDocument/2006/relationships/queryTable" Target="../queryTables/queryTable14.xml"/><Relationship Id="rId36" Type="http://schemas.openxmlformats.org/officeDocument/2006/relationships/queryTable" Target="../queryTables/queryTable35.xml"/><Relationship Id="rId57" Type="http://schemas.openxmlformats.org/officeDocument/2006/relationships/queryTable" Target="../queryTables/queryTable56.xml"/><Relationship Id="rId106" Type="http://schemas.openxmlformats.org/officeDocument/2006/relationships/queryTable" Target="../queryTables/queryTable105.xml"/><Relationship Id="rId127" Type="http://schemas.openxmlformats.org/officeDocument/2006/relationships/queryTable" Target="../queryTables/queryTable126.xml"/><Relationship Id="rId10" Type="http://schemas.openxmlformats.org/officeDocument/2006/relationships/queryTable" Target="../queryTables/queryTable9.xml"/><Relationship Id="rId31" Type="http://schemas.openxmlformats.org/officeDocument/2006/relationships/queryTable" Target="../queryTables/queryTable30.xml"/><Relationship Id="rId52" Type="http://schemas.openxmlformats.org/officeDocument/2006/relationships/queryTable" Target="../queryTables/queryTable51.xml"/><Relationship Id="rId73" Type="http://schemas.openxmlformats.org/officeDocument/2006/relationships/queryTable" Target="../queryTables/queryTable72.xml"/><Relationship Id="rId78" Type="http://schemas.openxmlformats.org/officeDocument/2006/relationships/queryTable" Target="../queryTables/queryTable77.xml"/><Relationship Id="rId94" Type="http://schemas.openxmlformats.org/officeDocument/2006/relationships/queryTable" Target="../queryTables/queryTable93.xml"/><Relationship Id="rId99" Type="http://schemas.openxmlformats.org/officeDocument/2006/relationships/queryTable" Target="../queryTables/queryTable98.xml"/><Relationship Id="rId101" Type="http://schemas.openxmlformats.org/officeDocument/2006/relationships/queryTable" Target="../queryTables/queryTable100.xml"/><Relationship Id="rId122" Type="http://schemas.openxmlformats.org/officeDocument/2006/relationships/queryTable" Target="../queryTables/queryTable121.xml"/><Relationship Id="rId143" Type="http://schemas.openxmlformats.org/officeDocument/2006/relationships/queryTable" Target="../queryTables/queryTable142.xml"/><Relationship Id="rId148" Type="http://schemas.openxmlformats.org/officeDocument/2006/relationships/queryTable" Target="../queryTables/queryTable147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26" Type="http://schemas.openxmlformats.org/officeDocument/2006/relationships/queryTable" Target="../queryTables/queryTable25.xml"/><Relationship Id="rId47" Type="http://schemas.openxmlformats.org/officeDocument/2006/relationships/queryTable" Target="../queryTables/queryTable46.xml"/><Relationship Id="rId68" Type="http://schemas.openxmlformats.org/officeDocument/2006/relationships/queryTable" Target="../queryTables/queryTable67.xml"/><Relationship Id="rId89" Type="http://schemas.openxmlformats.org/officeDocument/2006/relationships/queryTable" Target="../queryTables/queryTable88.xml"/><Relationship Id="rId112" Type="http://schemas.openxmlformats.org/officeDocument/2006/relationships/queryTable" Target="../queryTables/queryTable111.xml"/><Relationship Id="rId133" Type="http://schemas.openxmlformats.org/officeDocument/2006/relationships/queryTable" Target="../queryTables/queryTable132.xml"/><Relationship Id="rId154" Type="http://schemas.openxmlformats.org/officeDocument/2006/relationships/queryTable" Target="../queryTables/queryTable153.xml"/><Relationship Id="rId16" Type="http://schemas.openxmlformats.org/officeDocument/2006/relationships/queryTable" Target="../queryTables/queryTable15.xml"/><Relationship Id="rId37" Type="http://schemas.openxmlformats.org/officeDocument/2006/relationships/queryTable" Target="../queryTables/queryTable36.xml"/><Relationship Id="rId58" Type="http://schemas.openxmlformats.org/officeDocument/2006/relationships/queryTable" Target="../queryTables/queryTable57.xml"/><Relationship Id="rId79" Type="http://schemas.openxmlformats.org/officeDocument/2006/relationships/queryTable" Target="../queryTables/queryTable78.xml"/><Relationship Id="rId102" Type="http://schemas.openxmlformats.org/officeDocument/2006/relationships/queryTable" Target="../queryTables/queryTable101.xml"/><Relationship Id="rId123" Type="http://schemas.openxmlformats.org/officeDocument/2006/relationships/queryTable" Target="../queryTables/queryTable122.xml"/><Relationship Id="rId144" Type="http://schemas.openxmlformats.org/officeDocument/2006/relationships/queryTable" Target="../queryTables/queryTable143.xml"/><Relationship Id="rId90" Type="http://schemas.openxmlformats.org/officeDocument/2006/relationships/queryTable" Target="../queryTables/queryTable89.xml"/><Relationship Id="rId27" Type="http://schemas.openxmlformats.org/officeDocument/2006/relationships/queryTable" Target="../queryTables/queryTable26.xml"/><Relationship Id="rId48" Type="http://schemas.openxmlformats.org/officeDocument/2006/relationships/queryTable" Target="../queryTables/queryTable47.xml"/><Relationship Id="rId69" Type="http://schemas.openxmlformats.org/officeDocument/2006/relationships/queryTable" Target="../queryTables/queryTable68.xml"/><Relationship Id="rId113" Type="http://schemas.openxmlformats.org/officeDocument/2006/relationships/queryTable" Target="../queryTables/queryTable112.xml"/><Relationship Id="rId134" Type="http://schemas.openxmlformats.org/officeDocument/2006/relationships/queryTable" Target="../queryTables/queryTable133.xml"/><Relationship Id="rId80" Type="http://schemas.openxmlformats.org/officeDocument/2006/relationships/queryTable" Target="../queryTables/queryTable79.xml"/><Relationship Id="rId155" Type="http://schemas.openxmlformats.org/officeDocument/2006/relationships/queryTable" Target="../queryTables/queryTable15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5AFD-1E8D-BE41-A646-9E94EB1D78DF}">
  <dimension ref="A1:AA164"/>
  <sheetViews>
    <sheetView tabSelected="1" topLeftCell="M1" workbookViewId="0">
      <pane ySplit="1" topLeftCell="A12" activePane="bottomLeft" state="frozen"/>
      <selection pane="bottomLeft" activeCell="AN51" sqref="AN51"/>
    </sheetView>
  </sheetViews>
  <sheetFormatPr baseColWidth="10" defaultColWidth="10.6640625" defaultRowHeight="16" x14ac:dyDescent="0.2"/>
  <cols>
    <col min="1" max="1" width="17.1640625" style="1" customWidth="1"/>
    <col min="2" max="3" width="5.6640625" style="1" customWidth="1"/>
    <col min="4" max="4" width="6.5" style="1" customWidth="1"/>
    <col min="5" max="6" width="8.5" style="1" bestFit="1" customWidth="1"/>
    <col min="7" max="15" width="5.83203125" style="1" bestFit="1" customWidth="1"/>
    <col min="16" max="16" width="6.83203125" style="1" bestFit="1" customWidth="1"/>
    <col min="17" max="16384" width="10.6640625" style="1"/>
  </cols>
  <sheetData>
    <row r="1" spans="1:27" ht="51" x14ac:dyDescent="0.2">
      <c r="A1" s="1" t="s">
        <v>0</v>
      </c>
      <c r="B1" s="1" t="s">
        <v>1</v>
      </c>
      <c r="C1" s="1" t="s">
        <v>2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R1" s="1" t="s">
        <v>49</v>
      </c>
      <c r="S1" s="1" t="s">
        <v>50</v>
      </c>
      <c r="T1" s="3" t="s">
        <v>51</v>
      </c>
      <c r="U1" s="1" t="s">
        <v>50</v>
      </c>
      <c r="V1" s="3" t="s">
        <v>52</v>
      </c>
      <c r="W1" s="3" t="s">
        <v>53</v>
      </c>
      <c r="X1" s="3" t="s">
        <v>54</v>
      </c>
      <c r="Y1" s="3" t="s">
        <v>55</v>
      </c>
      <c r="Z1" s="3" t="s">
        <v>56</v>
      </c>
      <c r="AA1" s="3" t="s">
        <v>57</v>
      </c>
    </row>
    <row r="2" spans="1:27" x14ac:dyDescent="0.2">
      <c r="A2" s="1" t="s">
        <v>3</v>
      </c>
      <c r="B2" s="1">
        <v>0</v>
      </c>
      <c r="C2" s="1">
        <v>1</v>
      </c>
      <c r="D2" s="1" t="s">
        <v>4</v>
      </c>
      <c r="E2" s="1" t="s">
        <v>58</v>
      </c>
      <c r="F2" s="2">
        <v>0.3692361111111111</v>
      </c>
      <c r="G2" s="1">
        <v>0.66700000000000004</v>
      </c>
      <c r="H2" s="1">
        <v>0.66900000000000004</v>
      </c>
      <c r="I2" s="1">
        <v>0.66800000000000004</v>
      </c>
      <c r="J2" s="1">
        <v>0.69299999999999995</v>
      </c>
      <c r="K2" s="1">
        <v>0.68500000000000005</v>
      </c>
      <c r="L2" s="1">
        <v>0.68500000000000005</v>
      </c>
      <c r="M2" s="1">
        <v>0.68400000000000005</v>
      </c>
      <c r="N2" s="1">
        <v>0.66900000000000004</v>
      </c>
      <c r="O2" s="1">
        <v>0.66300000000000003</v>
      </c>
      <c r="P2" s="1">
        <v>0.67</v>
      </c>
      <c r="R2" s="4">
        <f>AVERAGE(G2:P2)</f>
        <v>0.67530000000000001</v>
      </c>
      <c r="S2" s="4">
        <f>_xlfn.STDEV.P(G2:P2)</f>
        <v>9.7882582720318426E-3</v>
      </c>
      <c r="T2" s="4">
        <f>AVERAGE(G2:P6)</f>
        <v>0.66496</v>
      </c>
      <c r="U2" s="4">
        <f>_xlfn.STDEV.P(G2:P6)</f>
        <v>2.1568458452100838E-2</v>
      </c>
    </row>
    <row r="3" spans="1:27" x14ac:dyDescent="0.2">
      <c r="A3" s="1" t="s">
        <v>3</v>
      </c>
      <c r="B3" s="1">
        <v>0</v>
      </c>
      <c r="C3" s="1">
        <v>2</v>
      </c>
      <c r="D3" s="1" t="s">
        <v>5</v>
      </c>
      <c r="E3" s="1" t="s">
        <v>58</v>
      </c>
      <c r="F3" s="2">
        <v>0.37056712962962962</v>
      </c>
      <c r="G3" s="1">
        <v>0.67900000000000005</v>
      </c>
      <c r="H3" s="1">
        <v>0.67900000000000005</v>
      </c>
      <c r="I3" s="1">
        <v>0.67</v>
      </c>
      <c r="J3" s="1">
        <v>0.67700000000000005</v>
      </c>
      <c r="K3" s="1">
        <v>0.65100000000000002</v>
      </c>
      <c r="L3" s="1">
        <v>0.68700000000000006</v>
      </c>
      <c r="M3" s="1">
        <v>0.69299999999999995</v>
      </c>
      <c r="N3" s="1">
        <v>0.69099999999999995</v>
      </c>
      <c r="O3" s="1">
        <v>0.68899999999999995</v>
      </c>
      <c r="P3" s="1">
        <v>0.66800000000000004</v>
      </c>
      <c r="R3" s="4">
        <f t="shared" ref="R3:R6" si="0">AVERAGE(G3:P3)</f>
        <v>0.6784</v>
      </c>
      <c r="S3" s="4">
        <f t="shared" ref="S3:S6" si="1">_xlfn.STDEV.P(G3:P3)</f>
        <v>1.2208193969625459E-2</v>
      </c>
      <c r="T3" s="4"/>
      <c r="U3" s="4"/>
    </row>
    <row r="4" spans="1:27" x14ac:dyDescent="0.2">
      <c r="A4" s="1" t="s">
        <v>3</v>
      </c>
      <c r="B4" s="1">
        <v>0</v>
      </c>
      <c r="C4" s="1">
        <v>3</v>
      </c>
      <c r="D4" s="1" t="s">
        <v>6</v>
      </c>
      <c r="E4" s="1" t="s">
        <v>58</v>
      </c>
      <c r="F4" s="2">
        <v>0.37174768518518514</v>
      </c>
      <c r="G4" s="1">
        <v>0.68</v>
      </c>
      <c r="H4" s="1">
        <v>0.69899999999999995</v>
      </c>
      <c r="I4" s="1">
        <v>0.69</v>
      </c>
      <c r="J4" s="1">
        <v>0.68300000000000005</v>
      </c>
      <c r="K4" s="1">
        <v>0.65800000000000003</v>
      </c>
      <c r="L4" s="1">
        <v>0.68200000000000005</v>
      </c>
      <c r="M4" s="1">
        <v>0.64800000000000002</v>
      </c>
      <c r="N4" s="1">
        <v>0.67600000000000005</v>
      </c>
      <c r="O4" s="1">
        <v>0.63400000000000001</v>
      </c>
      <c r="P4" s="1">
        <v>0.65800000000000003</v>
      </c>
      <c r="R4" s="4">
        <f t="shared" si="0"/>
        <v>0.67080000000000006</v>
      </c>
      <c r="S4" s="4">
        <f t="shared" si="1"/>
        <v>1.9369047472707575E-2</v>
      </c>
      <c r="T4" s="4"/>
      <c r="U4" s="4"/>
    </row>
    <row r="5" spans="1:27" x14ac:dyDescent="0.2">
      <c r="A5" s="1" t="s">
        <v>3</v>
      </c>
      <c r="B5" s="1">
        <v>0</v>
      </c>
      <c r="C5" s="1">
        <v>4</v>
      </c>
      <c r="D5" s="1" t="s">
        <v>7</v>
      </c>
      <c r="E5" s="1" t="s">
        <v>58</v>
      </c>
      <c r="F5" s="2">
        <v>0.37296296296296294</v>
      </c>
      <c r="G5" s="1">
        <v>0.61199999999999999</v>
      </c>
      <c r="H5" s="1">
        <v>0.628</v>
      </c>
      <c r="I5" s="1">
        <v>0.65300000000000002</v>
      </c>
      <c r="J5" s="1">
        <v>0.65500000000000003</v>
      </c>
      <c r="K5" s="1">
        <v>0.63400000000000001</v>
      </c>
      <c r="L5" s="1">
        <v>0.63</v>
      </c>
      <c r="M5" s="1">
        <v>0.64100000000000001</v>
      </c>
      <c r="N5" s="1">
        <v>0.65500000000000003</v>
      </c>
      <c r="O5" s="1">
        <v>0.60599999999999998</v>
      </c>
      <c r="P5" s="1">
        <v>0.64500000000000002</v>
      </c>
      <c r="R5" s="4">
        <f t="shared" si="0"/>
        <v>0.63590000000000002</v>
      </c>
      <c r="S5" s="4">
        <f t="shared" si="1"/>
        <v>1.6422241016377775E-2</v>
      </c>
      <c r="T5" s="4"/>
      <c r="U5" s="4"/>
    </row>
    <row r="6" spans="1:27" x14ac:dyDescent="0.2">
      <c r="A6" s="1" t="s">
        <v>3</v>
      </c>
      <c r="B6" s="1">
        <v>0</v>
      </c>
      <c r="C6" s="1">
        <v>5</v>
      </c>
      <c r="D6" s="1" t="s">
        <v>8</v>
      </c>
      <c r="E6" s="1" t="s">
        <v>58</v>
      </c>
      <c r="F6" s="2">
        <v>0.37395833333333334</v>
      </c>
      <c r="G6" s="1">
        <v>0.67100000000000004</v>
      </c>
      <c r="H6" s="1">
        <v>0.66800000000000004</v>
      </c>
      <c r="I6" s="1">
        <v>0.66200000000000003</v>
      </c>
      <c r="J6" s="1">
        <v>0.64500000000000002</v>
      </c>
      <c r="K6" s="1">
        <v>0.63600000000000001</v>
      </c>
      <c r="L6" s="1">
        <v>0.65400000000000003</v>
      </c>
      <c r="M6" s="1">
        <v>0.65800000000000003</v>
      </c>
      <c r="N6" s="1">
        <v>0.68100000000000005</v>
      </c>
      <c r="O6" s="1">
        <v>0.67400000000000004</v>
      </c>
      <c r="P6" s="1">
        <v>0.69499999999999995</v>
      </c>
      <c r="R6" s="4">
        <f t="shared" si="0"/>
        <v>0.6644000000000001</v>
      </c>
      <c r="S6" s="4">
        <f t="shared" si="1"/>
        <v>1.6426807358704849E-2</v>
      </c>
      <c r="T6" s="4"/>
      <c r="U6" s="4"/>
    </row>
    <row r="7" spans="1:27" x14ac:dyDescent="0.2">
      <c r="A7" s="1" t="s">
        <v>3</v>
      </c>
      <c r="B7" s="1">
        <v>10</v>
      </c>
      <c r="C7" s="1">
        <v>1</v>
      </c>
      <c r="D7" s="1" t="s">
        <v>21</v>
      </c>
      <c r="E7" s="1" t="s">
        <v>58</v>
      </c>
      <c r="F7" s="2">
        <v>0.38096064814814817</v>
      </c>
      <c r="G7" s="1">
        <v>0.68100000000000005</v>
      </c>
      <c r="H7" s="1">
        <v>0.66700000000000004</v>
      </c>
      <c r="I7" s="1">
        <v>0.68500000000000005</v>
      </c>
      <c r="J7" s="1">
        <v>0.70499999999999996</v>
      </c>
      <c r="K7" s="1">
        <v>0.68300000000000005</v>
      </c>
      <c r="L7" s="1">
        <v>0.68200000000000005</v>
      </c>
      <c r="M7" s="1">
        <v>0.67500000000000004</v>
      </c>
      <c r="N7" s="1">
        <v>0.68300000000000005</v>
      </c>
      <c r="O7" s="1">
        <v>0.68200000000000005</v>
      </c>
      <c r="P7" s="1">
        <v>0.69799999999999995</v>
      </c>
      <c r="R7" s="4">
        <f t="shared" ref="R7:R41" si="2">AVERAGE(G7:P7)</f>
        <v>0.68410000000000015</v>
      </c>
      <c r="S7" s="4">
        <f t="shared" ref="S7:S41" si="3">_xlfn.STDEV.P(G7:P7)</f>
        <v>1.0133607452432693E-2</v>
      </c>
      <c r="T7" s="4">
        <f>AVERAGE(G7:P11)</f>
        <v>0.66178000000000015</v>
      </c>
      <c r="U7" s="4">
        <f>_xlfn.STDEV.P(G7:P11)</f>
        <v>2.1699115189334338E-2</v>
      </c>
    </row>
    <row r="8" spans="1:27" x14ac:dyDescent="0.2">
      <c r="A8" s="1" t="s">
        <v>3</v>
      </c>
      <c r="B8" s="1">
        <v>10</v>
      </c>
      <c r="C8" s="1">
        <v>2</v>
      </c>
      <c r="D8" s="1" t="s">
        <v>22</v>
      </c>
      <c r="E8" s="1" t="s">
        <v>58</v>
      </c>
      <c r="F8" s="2">
        <v>0.38182870370370375</v>
      </c>
      <c r="G8" s="1">
        <v>0.67500000000000004</v>
      </c>
      <c r="H8" s="1">
        <v>0.68</v>
      </c>
      <c r="I8" s="1">
        <v>0.67100000000000004</v>
      </c>
      <c r="J8" s="1">
        <v>0.65300000000000002</v>
      </c>
      <c r="K8" s="1">
        <v>0.64500000000000002</v>
      </c>
      <c r="L8" s="1">
        <v>0.68600000000000005</v>
      </c>
      <c r="M8" s="1">
        <v>0.68899999999999995</v>
      </c>
      <c r="N8" s="1">
        <v>0.67100000000000004</v>
      </c>
      <c r="O8" s="1">
        <v>0.66900000000000004</v>
      </c>
      <c r="P8" s="1">
        <v>0.66</v>
      </c>
      <c r="R8" s="4">
        <f t="shared" si="2"/>
        <v>0.66989999999999994</v>
      </c>
      <c r="S8" s="4">
        <f t="shared" si="3"/>
        <v>1.3262352732452862E-2</v>
      </c>
    </row>
    <row r="9" spans="1:27" x14ac:dyDescent="0.2">
      <c r="A9" s="1" t="s">
        <v>3</v>
      </c>
      <c r="B9" s="1">
        <v>10</v>
      </c>
      <c r="C9" s="1">
        <v>3</v>
      </c>
      <c r="D9" s="1" t="s">
        <v>23</v>
      </c>
      <c r="E9" s="1" t="s">
        <v>58</v>
      </c>
      <c r="F9" s="2">
        <v>0.40065972222222218</v>
      </c>
      <c r="G9" s="1">
        <v>0.66100000000000003</v>
      </c>
      <c r="H9" s="1">
        <v>0.66200000000000003</v>
      </c>
      <c r="I9" s="1">
        <v>0.65</v>
      </c>
      <c r="J9" s="1">
        <v>0.65500000000000003</v>
      </c>
      <c r="K9" s="1">
        <v>0.65200000000000002</v>
      </c>
      <c r="L9" s="1">
        <v>0.65200000000000002</v>
      </c>
      <c r="M9" s="1">
        <v>0.65700000000000003</v>
      </c>
      <c r="N9" s="1">
        <v>0.65</v>
      </c>
      <c r="O9" s="1">
        <v>0.64400000000000002</v>
      </c>
      <c r="P9" s="1">
        <v>0.65800000000000003</v>
      </c>
      <c r="R9" s="4">
        <f t="shared" si="2"/>
        <v>0.65410000000000013</v>
      </c>
      <c r="S9" s="4">
        <f t="shared" si="3"/>
        <v>5.281098370604362E-3</v>
      </c>
    </row>
    <row r="10" spans="1:27" x14ac:dyDescent="0.2">
      <c r="A10" s="1" t="s">
        <v>3</v>
      </c>
      <c r="B10" s="1">
        <v>10</v>
      </c>
      <c r="C10" s="1">
        <v>4</v>
      </c>
      <c r="D10" s="1" t="s">
        <v>24</v>
      </c>
      <c r="E10" s="1" t="s">
        <v>58</v>
      </c>
      <c r="F10" s="2">
        <v>0.47094907407407405</v>
      </c>
      <c r="G10" s="1">
        <v>0.65200000000000002</v>
      </c>
      <c r="H10" s="1">
        <v>0.66100000000000003</v>
      </c>
      <c r="I10" s="1">
        <v>0.65600000000000003</v>
      </c>
      <c r="J10" s="1">
        <v>0.59499999999999997</v>
      </c>
      <c r="K10" s="1">
        <v>0.61299999999999999</v>
      </c>
      <c r="L10" s="1">
        <v>0.63900000000000001</v>
      </c>
      <c r="M10" s="1">
        <v>0.64500000000000002</v>
      </c>
      <c r="N10" s="1">
        <v>0.65200000000000002</v>
      </c>
      <c r="O10" s="1">
        <v>0.62</v>
      </c>
      <c r="P10" s="1">
        <v>0.64800000000000002</v>
      </c>
      <c r="R10" s="4">
        <f t="shared" si="2"/>
        <v>0.6381</v>
      </c>
      <c r="S10" s="4">
        <f t="shared" si="3"/>
        <v>2.047657197872732E-2</v>
      </c>
    </row>
    <row r="11" spans="1:27" x14ac:dyDescent="0.2">
      <c r="A11" s="1" t="s">
        <v>3</v>
      </c>
      <c r="B11" s="1">
        <v>10</v>
      </c>
      <c r="C11" s="1">
        <v>5</v>
      </c>
      <c r="D11" s="1" t="s">
        <v>25</v>
      </c>
      <c r="E11" s="1" t="s">
        <v>58</v>
      </c>
      <c r="F11" s="2">
        <v>0.47229166666666672</v>
      </c>
      <c r="G11" s="1">
        <v>0.69599999999999995</v>
      </c>
      <c r="H11" s="1">
        <v>0.7</v>
      </c>
      <c r="I11" s="1">
        <v>0.67400000000000004</v>
      </c>
      <c r="J11" s="1">
        <v>0.66600000000000004</v>
      </c>
      <c r="K11" s="1">
        <v>0.63900000000000001</v>
      </c>
      <c r="L11" s="1">
        <v>0.66300000000000003</v>
      </c>
      <c r="M11" s="1">
        <v>0.65500000000000003</v>
      </c>
      <c r="N11" s="1">
        <v>0.64600000000000002</v>
      </c>
      <c r="O11" s="1">
        <v>0.63400000000000001</v>
      </c>
      <c r="P11" s="1">
        <v>0.65400000000000003</v>
      </c>
      <c r="R11" s="4">
        <f t="shared" si="2"/>
        <v>0.66270000000000007</v>
      </c>
      <c r="S11" s="4">
        <f t="shared" si="3"/>
        <v>2.1066798522794087E-2</v>
      </c>
    </row>
    <row r="12" spans="1:27" x14ac:dyDescent="0.2">
      <c r="A12" s="1" t="s">
        <v>3</v>
      </c>
      <c r="B12" s="1">
        <v>20</v>
      </c>
      <c r="C12" s="1">
        <v>1</v>
      </c>
      <c r="D12" s="1" t="s">
        <v>59</v>
      </c>
      <c r="E12" s="1" t="s">
        <v>58</v>
      </c>
      <c r="F12" s="2">
        <v>0.55502314814814813</v>
      </c>
      <c r="G12" s="1">
        <v>0.65800000000000003</v>
      </c>
      <c r="H12" s="1">
        <v>0.65900000000000003</v>
      </c>
      <c r="I12" s="1">
        <v>0.65800000000000003</v>
      </c>
      <c r="J12" s="1">
        <v>0.64800000000000002</v>
      </c>
      <c r="K12" s="1">
        <v>0.64900000000000002</v>
      </c>
      <c r="L12" s="1">
        <v>0.65200000000000002</v>
      </c>
      <c r="M12" s="1">
        <v>0.65900000000000003</v>
      </c>
      <c r="N12" s="1">
        <v>0.65800000000000003</v>
      </c>
      <c r="O12" s="1">
        <v>0.65300000000000002</v>
      </c>
      <c r="P12" s="1">
        <v>0.65600000000000003</v>
      </c>
      <c r="R12" s="4">
        <f t="shared" ref="R12:R16" si="4">AVERAGE(G12:P12)</f>
        <v>0.65500000000000003</v>
      </c>
      <c r="S12" s="4">
        <f t="shared" ref="S12:S16" si="5">_xlfn.STDEV.P(G12:P12)</f>
        <v>3.9749213828703623E-3</v>
      </c>
      <c r="T12" s="4">
        <f>AVERAGE(G12:P16)</f>
        <v>0.66367999999999994</v>
      </c>
      <c r="U12" s="4">
        <f>_xlfn.STDEV.P(G12:P16)</f>
        <v>2.2576483339971257E-2</v>
      </c>
    </row>
    <row r="13" spans="1:27" x14ac:dyDescent="0.2">
      <c r="A13" s="1" t="s">
        <v>3</v>
      </c>
      <c r="B13" s="1">
        <v>20</v>
      </c>
      <c r="C13" s="1">
        <v>2</v>
      </c>
      <c r="D13" s="1" t="s">
        <v>60</v>
      </c>
      <c r="E13" s="1" t="s">
        <v>58</v>
      </c>
      <c r="F13" s="2">
        <v>0.55626157407407406</v>
      </c>
      <c r="G13" s="1">
        <v>0.66700000000000004</v>
      </c>
      <c r="H13" s="1">
        <v>0.65500000000000003</v>
      </c>
      <c r="I13" s="1">
        <v>0.65100000000000002</v>
      </c>
      <c r="J13" s="1">
        <v>0.66100000000000003</v>
      </c>
      <c r="K13" s="1">
        <v>0.62</v>
      </c>
      <c r="L13" s="1">
        <v>0.65300000000000002</v>
      </c>
      <c r="M13" s="1">
        <v>0.64500000000000002</v>
      </c>
      <c r="N13" s="1">
        <v>0.67100000000000004</v>
      </c>
      <c r="O13" s="1">
        <v>0.65400000000000003</v>
      </c>
      <c r="P13" s="1">
        <v>0.64</v>
      </c>
      <c r="R13" s="4">
        <f t="shared" si="4"/>
        <v>0.65170000000000006</v>
      </c>
      <c r="S13" s="4">
        <f t="shared" si="5"/>
        <v>1.3777155003846053E-2</v>
      </c>
    </row>
    <row r="14" spans="1:27" x14ac:dyDescent="0.2">
      <c r="A14" s="1" t="s">
        <v>3</v>
      </c>
      <c r="B14" s="1">
        <v>20</v>
      </c>
      <c r="C14" s="1">
        <v>3</v>
      </c>
      <c r="D14" s="1" t="s">
        <v>61</v>
      </c>
      <c r="E14" s="1" t="s">
        <v>58</v>
      </c>
      <c r="F14" s="2">
        <v>0.55714120370370368</v>
      </c>
      <c r="G14" s="1">
        <v>0.68400000000000005</v>
      </c>
      <c r="H14" s="1">
        <v>0.68500000000000005</v>
      </c>
      <c r="I14" s="1">
        <v>0.67</v>
      </c>
      <c r="J14" s="1">
        <v>0.67800000000000005</v>
      </c>
      <c r="K14" s="1">
        <v>0.68899999999999995</v>
      </c>
      <c r="L14" s="1">
        <v>0.65700000000000003</v>
      </c>
      <c r="M14" s="1">
        <v>0.68799999999999994</v>
      </c>
      <c r="N14" s="1">
        <v>0.66300000000000003</v>
      </c>
      <c r="O14" s="1">
        <v>0.67900000000000005</v>
      </c>
      <c r="P14" s="1">
        <v>0.66200000000000003</v>
      </c>
      <c r="R14" s="4">
        <f t="shared" si="4"/>
        <v>0.6755000000000001</v>
      </c>
      <c r="S14" s="4">
        <f t="shared" si="5"/>
        <v>1.1092790451459887E-2</v>
      </c>
    </row>
    <row r="15" spans="1:27" x14ac:dyDescent="0.2">
      <c r="A15" s="1" t="s">
        <v>3</v>
      </c>
      <c r="B15" s="1">
        <v>20</v>
      </c>
      <c r="C15" s="1">
        <v>4</v>
      </c>
      <c r="D15" s="1" t="s">
        <v>62</v>
      </c>
      <c r="E15" s="1" t="s">
        <v>58</v>
      </c>
      <c r="F15" s="2">
        <v>0.55825231481481474</v>
      </c>
      <c r="G15" s="1">
        <v>0.69099999999999995</v>
      </c>
      <c r="H15" s="1">
        <v>0.71</v>
      </c>
      <c r="I15" s="1">
        <v>0.67200000000000004</v>
      </c>
      <c r="J15" s="1">
        <v>0.69</v>
      </c>
      <c r="K15" s="1">
        <v>0.69499999999999995</v>
      </c>
      <c r="L15" s="1">
        <v>0.67800000000000005</v>
      </c>
      <c r="M15" s="1">
        <v>0.68799999999999994</v>
      </c>
      <c r="N15" s="1">
        <v>0.69299999999999995</v>
      </c>
      <c r="O15" s="1">
        <v>0.69199999999999995</v>
      </c>
      <c r="P15" s="1">
        <v>0.69099999999999995</v>
      </c>
      <c r="R15" s="4">
        <f t="shared" si="4"/>
        <v>0.69</v>
      </c>
      <c r="S15" s="4">
        <f t="shared" si="5"/>
        <v>9.5498691090506321E-3</v>
      </c>
    </row>
    <row r="16" spans="1:27" x14ac:dyDescent="0.2">
      <c r="A16" s="1" t="s">
        <v>3</v>
      </c>
      <c r="B16" s="1">
        <v>30</v>
      </c>
      <c r="C16" s="1">
        <v>5</v>
      </c>
      <c r="D16" s="1" t="s">
        <v>63</v>
      </c>
      <c r="E16" s="1" t="s">
        <v>58</v>
      </c>
      <c r="F16" s="2">
        <v>0.55913194444444447</v>
      </c>
      <c r="G16" s="1">
        <v>0.67300000000000004</v>
      </c>
      <c r="H16" s="1">
        <v>0.67100000000000004</v>
      </c>
      <c r="I16" s="1">
        <v>0.65600000000000003</v>
      </c>
      <c r="J16" s="1">
        <v>0.65700000000000003</v>
      </c>
      <c r="K16" s="1">
        <v>0.67600000000000005</v>
      </c>
      <c r="L16" s="1">
        <v>0.627</v>
      </c>
      <c r="M16" s="1">
        <v>0.63500000000000001</v>
      </c>
      <c r="N16" s="1">
        <v>0.66600000000000004</v>
      </c>
      <c r="O16" s="1">
        <v>0.61099999999999999</v>
      </c>
      <c r="P16" s="1">
        <v>0.59</v>
      </c>
      <c r="R16" s="4">
        <f t="shared" si="4"/>
        <v>0.6462</v>
      </c>
      <c r="S16" s="4">
        <f t="shared" si="5"/>
        <v>2.778056874867758E-2</v>
      </c>
    </row>
    <row r="17" spans="1:21" x14ac:dyDescent="0.2">
      <c r="A17" s="1" t="s">
        <v>3</v>
      </c>
      <c r="B17" s="1">
        <v>30</v>
      </c>
      <c r="C17" s="1">
        <v>1</v>
      </c>
      <c r="D17" s="1" t="s">
        <v>26</v>
      </c>
      <c r="E17" s="1" t="s">
        <v>58</v>
      </c>
      <c r="F17" s="2">
        <v>0.63831018518518523</v>
      </c>
      <c r="G17" s="1">
        <v>0.66700000000000004</v>
      </c>
      <c r="H17" s="1">
        <v>0.65300000000000002</v>
      </c>
      <c r="I17" s="1">
        <v>0.65300000000000002</v>
      </c>
      <c r="J17" s="1">
        <v>0.69399999999999995</v>
      </c>
      <c r="K17" s="1">
        <v>0.67500000000000004</v>
      </c>
      <c r="L17" s="1">
        <v>0.65</v>
      </c>
      <c r="M17" s="1">
        <v>0.66800000000000004</v>
      </c>
      <c r="N17" s="1">
        <v>0.68300000000000005</v>
      </c>
      <c r="O17" s="1">
        <v>0.68700000000000006</v>
      </c>
      <c r="P17" s="1">
        <v>0.66500000000000004</v>
      </c>
      <c r="R17" s="4">
        <f t="shared" si="2"/>
        <v>0.66949999999999998</v>
      </c>
      <c r="S17" s="4">
        <f t="shared" si="3"/>
        <v>1.4396180048887963E-2</v>
      </c>
      <c r="T17" s="4">
        <f>AVERAGE(G17:P21)</f>
        <v>0.66266000000000003</v>
      </c>
      <c r="U17" s="4">
        <f>_xlfn.STDEV.P(G17:P21)</f>
        <v>2.2035979669622147E-2</v>
      </c>
    </row>
    <row r="18" spans="1:21" x14ac:dyDescent="0.2">
      <c r="A18" s="1" t="s">
        <v>3</v>
      </c>
      <c r="B18" s="1">
        <v>30</v>
      </c>
      <c r="C18" s="1">
        <v>2</v>
      </c>
      <c r="D18" s="1" t="s">
        <v>27</v>
      </c>
      <c r="E18" s="1" t="s">
        <v>58</v>
      </c>
      <c r="F18" s="2">
        <v>0.63927083333333334</v>
      </c>
      <c r="G18" s="1">
        <v>0.68200000000000005</v>
      </c>
      <c r="H18" s="1">
        <v>0.68100000000000005</v>
      </c>
      <c r="I18" s="1">
        <v>0.66400000000000003</v>
      </c>
      <c r="J18" s="1">
        <v>0.65600000000000003</v>
      </c>
      <c r="K18" s="1">
        <v>0.67600000000000005</v>
      </c>
      <c r="L18" s="1">
        <v>0.65300000000000002</v>
      </c>
      <c r="M18" s="1">
        <v>0.66500000000000004</v>
      </c>
      <c r="N18" s="1">
        <v>0.64500000000000002</v>
      </c>
      <c r="O18" s="1">
        <v>0.66</v>
      </c>
      <c r="P18" s="1">
        <v>0.68300000000000005</v>
      </c>
      <c r="R18" s="4">
        <f t="shared" si="2"/>
        <v>0.66650000000000009</v>
      </c>
      <c r="S18" s="4">
        <f t="shared" si="3"/>
        <v>1.2722028140198413E-2</v>
      </c>
    </row>
    <row r="19" spans="1:21" x14ac:dyDescent="0.2">
      <c r="A19" s="1" t="s">
        <v>3</v>
      </c>
      <c r="B19" s="1">
        <v>30</v>
      </c>
      <c r="C19" s="1">
        <v>3</v>
      </c>
      <c r="D19" s="1" t="s">
        <v>28</v>
      </c>
      <c r="E19" s="1" t="s">
        <v>58</v>
      </c>
      <c r="F19" s="2">
        <v>0.64025462962962965</v>
      </c>
      <c r="G19" s="1">
        <v>0.65200000000000002</v>
      </c>
      <c r="H19" s="1">
        <v>0.66900000000000004</v>
      </c>
      <c r="I19" s="1">
        <v>0.63400000000000001</v>
      </c>
      <c r="J19" s="1">
        <v>0.61499999999999999</v>
      </c>
      <c r="K19" s="1">
        <v>0.624</v>
      </c>
      <c r="L19" s="1">
        <v>0.63900000000000001</v>
      </c>
      <c r="M19" s="1">
        <v>0.61299999999999999</v>
      </c>
      <c r="N19" s="1">
        <v>0.628</v>
      </c>
      <c r="O19" s="1">
        <v>0.64800000000000002</v>
      </c>
      <c r="P19" s="1">
        <v>0.58399999999999996</v>
      </c>
      <c r="R19" s="4">
        <f t="shared" si="2"/>
        <v>0.63059999999999994</v>
      </c>
      <c r="S19" s="4">
        <f t="shared" si="3"/>
        <v>2.25663466250078E-2</v>
      </c>
    </row>
    <row r="20" spans="1:21" x14ac:dyDescent="0.2">
      <c r="A20" s="1" t="s">
        <v>3</v>
      </c>
      <c r="B20" s="1">
        <v>30</v>
      </c>
      <c r="C20" s="1">
        <v>4</v>
      </c>
      <c r="D20" s="1" t="s">
        <v>29</v>
      </c>
      <c r="E20" s="1" t="s">
        <v>58</v>
      </c>
      <c r="F20" s="2">
        <v>0.64120370370370372</v>
      </c>
      <c r="G20" s="1">
        <v>0.67700000000000005</v>
      </c>
      <c r="H20" s="1">
        <v>0.65800000000000003</v>
      </c>
      <c r="I20" s="1">
        <v>0.67400000000000004</v>
      </c>
      <c r="J20" s="1">
        <v>0.68400000000000005</v>
      </c>
      <c r="K20" s="1">
        <v>0.67200000000000004</v>
      </c>
      <c r="L20" s="1">
        <v>0.67300000000000004</v>
      </c>
      <c r="M20" s="1">
        <v>0.67</v>
      </c>
      <c r="N20" s="1">
        <v>0.67500000000000004</v>
      </c>
      <c r="O20" s="1">
        <v>0.65500000000000003</v>
      </c>
      <c r="P20" s="1">
        <v>0.67400000000000004</v>
      </c>
      <c r="R20" s="4">
        <f t="shared" si="2"/>
        <v>0.67120000000000002</v>
      </c>
      <c r="S20" s="4">
        <f t="shared" si="3"/>
        <v>8.1829090181915216E-3</v>
      </c>
    </row>
    <row r="21" spans="1:21" x14ac:dyDescent="0.2">
      <c r="A21" s="1" t="s">
        <v>3</v>
      </c>
      <c r="B21" s="1">
        <v>30</v>
      </c>
      <c r="C21" s="1">
        <v>5</v>
      </c>
      <c r="D21" s="1" t="s">
        <v>30</v>
      </c>
      <c r="E21" s="1" t="s">
        <v>58</v>
      </c>
      <c r="F21" s="2">
        <v>0.64212962962962961</v>
      </c>
      <c r="G21" s="1">
        <v>0.68100000000000005</v>
      </c>
      <c r="H21" s="1">
        <v>0.68700000000000006</v>
      </c>
      <c r="I21" s="1">
        <v>0.65900000000000003</v>
      </c>
      <c r="J21" s="1">
        <v>0.66800000000000004</v>
      </c>
      <c r="K21" s="1">
        <v>0.65600000000000003</v>
      </c>
      <c r="L21" s="1">
        <v>0.66600000000000004</v>
      </c>
      <c r="M21" s="1">
        <v>0.67700000000000005</v>
      </c>
      <c r="N21" s="1">
        <v>0.69799999999999995</v>
      </c>
      <c r="O21" s="1">
        <v>0.68400000000000005</v>
      </c>
      <c r="P21" s="1">
        <v>0.67900000000000005</v>
      </c>
      <c r="R21" s="4">
        <f t="shared" si="2"/>
        <v>0.67550000000000021</v>
      </c>
      <c r="S21" s="4">
        <f t="shared" si="3"/>
        <v>1.2467958934805639E-2</v>
      </c>
    </row>
    <row r="22" spans="1:21" x14ac:dyDescent="0.2">
      <c r="A22" s="1" t="s">
        <v>3</v>
      </c>
      <c r="B22" s="1">
        <v>45</v>
      </c>
      <c r="C22" s="1">
        <v>1</v>
      </c>
      <c r="D22" s="1" t="s">
        <v>64</v>
      </c>
      <c r="E22" s="1" t="s">
        <v>58</v>
      </c>
      <c r="F22" s="2">
        <v>0.41311342592592593</v>
      </c>
      <c r="G22" s="1">
        <v>0.67700000000000005</v>
      </c>
      <c r="H22" s="1">
        <v>0.68500000000000005</v>
      </c>
      <c r="I22" s="1">
        <v>0.65700000000000003</v>
      </c>
      <c r="J22" s="1">
        <v>0.67100000000000004</v>
      </c>
      <c r="K22" s="1">
        <v>0.66100000000000003</v>
      </c>
      <c r="L22" s="1">
        <v>0.66700000000000004</v>
      </c>
      <c r="M22" s="1">
        <v>0.65800000000000003</v>
      </c>
      <c r="N22" s="1">
        <v>0.65800000000000003</v>
      </c>
      <c r="O22" s="1">
        <v>0.65</v>
      </c>
      <c r="P22" s="1">
        <v>0.65600000000000003</v>
      </c>
      <c r="R22" s="4">
        <f t="shared" ref="R22:R26" si="6">AVERAGE(G22:P22)</f>
        <v>0.66400000000000015</v>
      </c>
      <c r="S22" s="4">
        <f t="shared" ref="S22:S26" si="7">_xlfn.STDEV.P(G22:P22)</f>
        <v>1.0285912696499044E-2</v>
      </c>
      <c r="T22" s="4">
        <f>AVERAGE(G22:P26)</f>
        <v>0.66252</v>
      </c>
      <c r="U22" s="4">
        <f>_xlfn.STDEV.P(G22:P26)</f>
        <v>1.1638281660107743E-2</v>
      </c>
    </row>
    <row r="23" spans="1:21" x14ac:dyDescent="0.2">
      <c r="A23" s="1" t="s">
        <v>3</v>
      </c>
      <c r="B23" s="1">
        <v>45</v>
      </c>
      <c r="C23" s="1">
        <v>2</v>
      </c>
      <c r="D23" s="1" t="s">
        <v>65</v>
      </c>
      <c r="E23" s="1" t="s">
        <v>58</v>
      </c>
      <c r="F23" s="2">
        <v>0.41408564814814813</v>
      </c>
      <c r="G23" s="1">
        <v>0.67</v>
      </c>
      <c r="H23" s="1">
        <v>0.66900000000000004</v>
      </c>
      <c r="I23" s="1">
        <v>0.66500000000000004</v>
      </c>
      <c r="J23" s="1">
        <v>0.66900000000000004</v>
      </c>
      <c r="K23" s="1">
        <v>0.66100000000000003</v>
      </c>
      <c r="L23" s="1">
        <v>0.65</v>
      </c>
      <c r="M23" s="1">
        <v>0.64700000000000002</v>
      </c>
      <c r="N23" s="1">
        <v>0.65600000000000003</v>
      </c>
      <c r="O23" s="1">
        <v>0.65500000000000003</v>
      </c>
      <c r="P23" s="1">
        <v>0.65400000000000003</v>
      </c>
      <c r="R23" s="4">
        <f t="shared" si="6"/>
        <v>0.65959999999999996</v>
      </c>
      <c r="S23" s="4">
        <f t="shared" si="7"/>
        <v>7.952358140828425E-3</v>
      </c>
    </row>
    <row r="24" spans="1:21" x14ac:dyDescent="0.2">
      <c r="A24" s="1" t="s">
        <v>3</v>
      </c>
      <c r="B24" s="1">
        <v>45</v>
      </c>
      <c r="C24" s="1">
        <v>3</v>
      </c>
      <c r="D24" s="1" t="s">
        <v>66</v>
      </c>
      <c r="E24" s="1" t="s">
        <v>58</v>
      </c>
      <c r="F24" s="2">
        <v>0.41509259259259257</v>
      </c>
      <c r="G24" s="1">
        <v>0.68300000000000005</v>
      </c>
      <c r="H24" s="1">
        <v>0.67500000000000004</v>
      </c>
      <c r="I24" s="1">
        <v>0.66900000000000004</v>
      </c>
      <c r="J24" s="1">
        <v>0.67700000000000005</v>
      </c>
      <c r="K24" s="1">
        <v>0.67500000000000004</v>
      </c>
      <c r="L24" s="1">
        <v>0.68600000000000005</v>
      </c>
      <c r="M24" s="1">
        <v>0.68200000000000005</v>
      </c>
      <c r="N24" s="1">
        <v>0.67200000000000004</v>
      </c>
      <c r="O24" s="1">
        <v>0.67300000000000004</v>
      </c>
      <c r="P24" s="1">
        <v>0.68200000000000005</v>
      </c>
      <c r="R24" s="4">
        <f t="shared" si="6"/>
        <v>0.67740000000000011</v>
      </c>
      <c r="S24" s="4">
        <f t="shared" si="7"/>
        <v>5.2763623833091723E-3</v>
      </c>
    </row>
    <row r="25" spans="1:21" x14ac:dyDescent="0.2">
      <c r="A25" s="1" t="s">
        <v>3</v>
      </c>
      <c r="B25" s="1">
        <v>45</v>
      </c>
      <c r="C25" s="1">
        <v>4</v>
      </c>
      <c r="D25" s="1" t="s">
        <v>67</v>
      </c>
      <c r="E25" s="1" t="s">
        <v>58</v>
      </c>
      <c r="F25" s="2">
        <v>0.41696759259259258</v>
      </c>
      <c r="G25" s="1">
        <v>0.67200000000000004</v>
      </c>
      <c r="H25" s="1">
        <v>0.66500000000000004</v>
      </c>
      <c r="I25" s="1">
        <v>0.66200000000000003</v>
      </c>
      <c r="J25" s="1">
        <v>0.66600000000000004</v>
      </c>
      <c r="K25" s="1">
        <v>0.66400000000000003</v>
      </c>
      <c r="L25" s="1">
        <v>0.65900000000000003</v>
      </c>
      <c r="M25" s="1">
        <v>0.66</v>
      </c>
      <c r="N25" s="1">
        <v>0.64800000000000002</v>
      </c>
      <c r="O25" s="1">
        <v>0.66500000000000004</v>
      </c>
      <c r="P25" s="1">
        <v>0.65900000000000003</v>
      </c>
      <c r="R25" s="4">
        <f t="shared" si="6"/>
        <v>0.66200000000000003</v>
      </c>
      <c r="S25" s="4">
        <f t="shared" si="7"/>
        <v>5.9665735560705249E-3</v>
      </c>
    </row>
    <row r="26" spans="1:21" x14ac:dyDescent="0.2">
      <c r="A26" s="1" t="s">
        <v>3</v>
      </c>
      <c r="B26" s="1">
        <v>45</v>
      </c>
      <c r="C26" s="1">
        <v>5</v>
      </c>
      <c r="D26" s="1" t="s">
        <v>68</v>
      </c>
      <c r="E26" s="1" t="s">
        <v>58</v>
      </c>
      <c r="F26" s="2">
        <v>0.41798611111111111</v>
      </c>
      <c r="G26" s="1">
        <v>0.64200000000000002</v>
      </c>
      <c r="H26" s="1">
        <v>0.64</v>
      </c>
      <c r="I26" s="1">
        <v>0.64800000000000002</v>
      </c>
      <c r="J26" s="1">
        <v>0.65100000000000002</v>
      </c>
      <c r="K26" s="1">
        <v>0.65700000000000003</v>
      </c>
      <c r="L26" s="1">
        <v>0.64500000000000002</v>
      </c>
      <c r="M26" s="1">
        <v>0.64800000000000002</v>
      </c>
      <c r="N26" s="1">
        <v>0.64600000000000002</v>
      </c>
      <c r="O26" s="1">
        <v>0.65700000000000003</v>
      </c>
      <c r="P26" s="1">
        <v>0.66200000000000003</v>
      </c>
      <c r="R26" s="4">
        <f t="shared" si="6"/>
        <v>0.64960000000000007</v>
      </c>
      <c r="S26" s="4">
        <f t="shared" si="7"/>
        <v>6.7409198185410931E-3</v>
      </c>
    </row>
    <row r="27" spans="1:21" x14ac:dyDescent="0.2">
      <c r="A27" s="1" t="s">
        <v>3</v>
      </c>
      <c r="B27" s="1">
        <v>60</v>
      </c>
      <c r="C27" s="1">
        <v>1</v>
      </c>
      <c r="D27" s="1" t="s">
        <v>31</v>
      </c>
      <c r="E27" s="1" t="s">
        <v>58</v>
      </c>
      <c r="F27" s="2">
        <v>0.41885416666666669</v>
      </c>
      <c r="G27" s="1">
        <v>0.68700000000000006</v>
      </c>
      <c r="H27" s="1">
        <v>0.68799999999999994</v>
      </c>
      <c r="I27" s="1">
        <v>0.66800000000000004</v>
      </c>
      <c r="J27" s="1">
        <v>0.69599999999999995</v>
      </c>
      <c r="K27" s="1">
        <v>0.68500000000000005</v>
      </c>
      <c r="L27" s="1">
        <v>0.66</v>
      </c>
      <c r="M27" s="1">
        <v>0.67400000000000004</v>
      </c>
      <c r="N27" s="1">
        <v>0.67800000000000005</v>
      </c>
      <c r="O27" s="1">
        <v>0.68799999999999994</v>
      </c>
      <c r="P27" s="1">
        <v>0.66700000000000004</v>
      </c>
      <c r="R27" s="4">
        <f t="shared" si="2"/>
        <v>0.67909999999999993</v>
      </c>
      <c r="S27" s="4">
        <f t="shared" si="3"/>
        <v>1.0967679791095263E-2</v>
      </c>
      <c r="T27" s="4">
        <f>AVERAGE(G27:P31)</f>
        <v>0.66887999999999981</v>
      </c>
      <c r="U27" s="4">
        <f>_xlfn.STDEV.P(G27:P31)</f>
        <v>1.6329898958658617E-2</v>
      </c>
    </row>
    <row r="28" spans="1:21" x14ac:dyDescent="0.2">
      <c r="A28" s="1" t="s">
        <v>3</v>
      </c>
      <c r="B28" s="1">
        <v>60</v>
      </c>
      <c r="C28" s="1">
        <v>2</v>
      </c>
      <c r="D28" s="1" t="s">
        <v>32</v>
      </c>
      <c r="E28" s="1" t="s">
        <v>58</v>
      </c>
      <c r="F28" s="2">
        <v>0.41987268518518522</v>
      </c>
      <c r="G28" s="1">
        <v>0.68200000000000005</v>
      </c>
      <c r="H28" s="1">
        <v>0.69199999999999995</v>
      </c>
      <c r="I28" s="1">
        <v>0.67500000000000004</v>
      </c>
      <c r="J28" s="1">
        <v>0.68400000000000005</v>
      </c>
      <c r="K28" s="1">
        <v>0.68200000000000005</v>
      </c>
      <c r="L28" s="1">
        <v>0.67</v>
      </c>
      <c r="M28" s="1">
        <v>0.65300000000000002</v>
      </c>
      <c r="N28" s="1">
        <v>0.64700000000000002</v>
      </c>
      <c r="O28" s="1">
        <v>0.67100000000000004</v>
      </c>
      <c r="P28" s="1">
        <v>0.69099999999999995</v>
      </c>
      <c r="R28" s="4">
        <f t="shared" si="2"/>
        <v>0.67470000000000019</v>
      </c>
      <c r="S28" s="4">
        <f t="shared" si="3"/>
        <v>1.4255174499107319E-2</v>
      </c>
    </row>
    <row r="29" spans="1:21" x14ac:dyDescent="0.2">
      <c r="A29" s="1" t="s">
        <v>3</v>
      </c>
      <c r="B29" s="1">
        <v>60</v>
      </c>
      <c r="C29" s="1">
        <v>3</v>
      </c>
      <c r="D29" s="1" t="s">
        <v>33</v>
      </c>
      <c r="E29" s="1" t="s">
        <v>58</v>
      </c>
      <c r="F29" s="2">
        <v>0.42090277777777779</v>
      </c>
      <c r="G29" s="1">
        <v>0.65600000000000003</v>
      </c>
      <c r="H29" s="1">
        <v>0.66700000000000004</v>
      </c>
      <c r="I29" s="1">
        <v>0.66700000000000004</v>
      </c>
      <c r="J29" s="1">
        <v>0.64400000000000002</v>
      </c>
      <c r="K29" s="1">
        <v>0.66300000000000003</v>
      </c>
      <c r="L29" s="1">
        <v>0.67600000000000005</v>
      </c>
      <c r="M29" s="1">
        <v>0.64400000000000002</v>
      </c>
      <c r="N29" s="1">
        <v>0.66500000000000004</v>
      </c>
      <c r="O29" s="1">
        <v>0.65</v>
      </c>
      <c r="P29" s="1">
        <v>0.64800000000000002</v>
      </c>
      <c r="R29" s="4">
        <f t="shared" si="2"/>
        <v>0.65800000000000003</v>
      </c>
      <c r="S29" s="4">
        <f t="shared" si="3"/>
        <v>1.0583005244258372E-2</v>
      </c>
    </row>
    <row r="30" spans="1:21" x14ac:dyDescent="0.2">
      <c r="A30" s="1" t="s">
        <v>3</v>
      </c>
      <c r="B30" s="1">
        <v>60</v>
      </c>
      <c r="C30" s="1">
        <v>4</v>
      </c>
      <c r="D30" s="1" t="s">
        <v>34</v>
      </c>
      <c r="E30" s="1" t="s">
        <v>58</v>
      </c>
      <c r="F30" s="2">
        <v>0.42186342592592596</v>
      </c>
      <c r="G30" s="1">
        <v>0.69</v>
      </c>
      <c r="H30" s="1">
        <v>0.69599999999999995</v>
      </c>
      <c r="I30" s="1">
        <v>0.68799999999999994</v>
      </c>
      <c r="J30" s="1">
        <v>0.68300000000000005</v>
      </c>
      <c r="K30" s="1">
        <v>0.68500000000000005</v>
      </c>
      <c r="L30" s="1">
        <v>0.67100000000000004</v>
      </c>
      <c r="M30" s="1">
        <v>0.65900000000000003</v>
      </c>
      <c r="N30" s="1">
        <v>0.66500000000000004</v>
      </c>
      <c r="O30" s="1">
        <v>0.64700000000000002</v>
      </c>
      <c r="P30" s="1">
        <v>0.64200000000000002</v>
      </c>
      <c r="R30" s="4">
        <f t="shared" si="2"/>
        <v>0.67259999999999998</v>
      </c>
      <c r="S30" s="4">
        <f t="shared" si="3"/>
        <v>1.7850490189347722E-2</v>
      </c>
    </row>
    <row r="31" spans="1:21" x14ac:dyDescent="0.2">
      <c r="A31" s="1" t="s">
        <v>3</v>
      </c>
      <c r="B31" s="1">
        <v>60</v>
      </c>
      <c r="C31" s="1">
        <v>5</v>
      </c>
      <c r="D31" s="1" t="s">
        <v>35</v>
      </c>
      <c r="E31" s="1" t="s">
        <v>58</v>
      </c>
      <c r="F31" s="2">
        <v>0.42288194444444444</v>
      </c>
      <c r="G31" s="1">
        <v>0.68300000000000005</v>
      </c>
      <c r="H31" s="1">
        <v>0.67900000000000005</v>
      </c>
      <c r="I31" s="1">
        <v>0.66500000000000004</v>
      </c>
      <c r="J31" s="1">
        <v>0.67100000000000004</v>
      </c>
      <c r="K31" s="1">
        <v>0.67</v>
      </c>
      <c r="L31" s="1">
        <v>0.65800000000000003</v>
      </c>
      <c r="M31" s="1">
        <v>0.64100000000000001</v>
      </c>
      <c r="N31" s="1">
        <v>0.64400000000000002</v>
      </c>
      <c r="O31" s="1">
        <v>0.63900000000000001</v>
      </c>
      <c r="P31" s="1">
        <v>0.65</v>
      </c>
      <c r="R31" s="4">
        <f t="shared" si="2"/>
        <v>0.66000000000000014</v>
      </c>
      <c r="S31" s="4">
        <f t="shared" si="3"/>
        <v>1.5159155649309773E-2</v>
      </c>
    </row>
    <row r="32" spans="1:21" x14ac:dyDescent="0.2">
      <c r="A32" s="1" t="s">
        <v>3</v>
      </c>
      <c r="B32" s="1">
        <v>120</v>
      </c>
      <c r="C32" s="1">
        <v>1</v>
      </c>
      <c r="D32" s="1" t="s">
        <v>36</v>
      </c>
      <c r="E32" s="1" t="s">
        <v>58</v>
      </c>
      <c r="F32" s="2">
        <v>0.53100694444444441</v>
      </c>
      <c r="G32" s="1">
        <v>0.68400000000000005</v>
      </c>
      <c r="H32" s="1">
        <v>0.69699999999999995</v>
      </c>
      <c r="I32" s="1">
        <v>0.69199999999999995</v>
      </c>
      <c r="J32" s="1">
        <v>0.68300000000000005</v>
      </c>
      <c r="K32" s="1">
        <v>0.7</v>
      </c>
      <c r="L32" s="1">
        <v>0.68899999999999995</v>
      </c>
      <c r="M32" s="1">
        <v>0.70099999999999996</v>
      </c>
      <c r="N32" s="1">
        <v>0.69599999999999995</v>
      </c>
      <c r="O32" s="1">
        <v>0.68899999999999995</v>
      </c>
      <c r="P32" s="1">
        <v>0.68200000000000005</v>
      </c>
      <c r="R32" s="4">
        <f t="shared" si="2"/>
        <v>0.69130000000000003</v>
      </c>
      <c r="S32" s="4">
        <f t="shared" si="3"/>
        <v>6.6640828326184186E-3</v>
      </c>
      <c r="T32" s="4">
        <f>AVERAGE(G32:P36)</f>
        <v>0.68611999999999995</v>
      </c>
      <c r="U32" s="4">
        <f>_xlfn.STDEV.P(G32:P36)</f>
        <v>1.2545341764973933E-2</v>
      </c>
    </row>
    <row r="33" spans="1:27" x14ac:dyDescent="0.2">
      <c r="A33" s="1" t="s">
        <v>3</v>
      </c>
      <c r="B33" s="1">
        <v>120</v>
      </c>
      <c r="C33" s="1">
        <v>2</v>
      </c>
      <c r="D33" s="1" t="s">
        <v>37</v>
      </c>
      <c r="E33" s="1" t="s">
        <v>58</v>
      </c>
      <c r="F33" s="2">
        <v>0.53185185185185191</v>
      </c>
      <c r="G33" s="1">
        <v>0.71299999999999997</v>
      </c>
      <c r="H33" s="1">
        <v>0.69799999999999995</v>
      </c>
      <c r="I33" s="1">
        <v>0.66900000000000004</v>
      </c>
      <c r="J33" s="1">
        <v>0.67800000000000005</v>
      </c>
      <c r="K33" s="1">
        <v>0.65400000000000003</v>
      </c>
      <c r="L33" s="1">
        <v>0.68799999999999994</v>
      </c>
      <c r="M33" s="1">
        <v>0.67700000000000005</v>
      </c>
      <c r="N33" s="1">
        <v>0.70099999999999996</v>
      </c>
      <c r="O33" s="1">
        <v>0.69699999999999995</v>
      </c>
      <c r="P33" s="1">
        <v>0.70199999999999996</v>
      </c>
      <c r="R33" s="4">
        <f t="shared" si="2"/>
        <v>0.68769999999999987</v>
      </c>
      <c r="S33" s="4">
        <f t="shared" si="3"/>
        <v>1.7053152201279353E-2</v>
      </c>
    </row>
    <row r="34" spans="1:27" x14ac:dyDescent="0.2">
      <c r="A34" s="1" t="s">
        <v>3</v>
      </c>
      <c r="B34" s="1">
        <v>120</v>
      </c>
      <c r="C34" s="1">
        <v>3</v>
      </c>
      <c r="D34" s="1" t="s">
        <v>38</v>
      </c>
      <c r="E34" s="1" t="s">
        <v>58</v>
      </c>
      <c r="F34" s="2">
        <v>0.53274305555555557</v>
      </c>
      <c r="G34" s="1">
        <v>0.68700000000000006</v>
      </c>
      <c r="H34" s="1">
        <v>0.68700000000000006</v>
      </c>
      <c r="I34" s="1">
        <v>0.67600000000000005</v>
      </c>
      <c r="J34" s="1">
        <v>0.68400000000000005</v>
      </c>
      <c r="K34" s="1">
        <v>0.67900000000000005</v>
      </c>
      <c r="L34" s="1">
        <v>0.70499999999999996</v>
      </c>
      <c r="M34" s="1">
        <v>0.68</v>
      </c>
      <c r="N34" s="1">
        <v>0.70799999999999996</v>
      </c>
      <c r="O34" s="1">
        <v>0.70199999999999996</v>
      </c>
      <c r="P34" s="1">
        <v>0.69499999999999995</v>
      </c>
      <c r="R34" s="4">
        <f t="shared" si="2"/>
        <v>0.69030000000000002</v>
      </c>
      <c r="S34" s="4">
        <f t="shared" si="3"/>
        <v>1.089999999999996E-2</v>
      </c>
    </row>
    <row r="35" spans="1:27" x14ac:dyDescent="0.2">
      <c r="A35" s="1" t="s">
        <v>3</v>
      </c>
      <c r="B35" s="1">
        <v>120</v>
      </c>
      <c r="C35" s="1">
        <v>4</v>
      </c>
      <c r="D35" s="1" t="s">
        <v>39</v>
      </c>
      <c r="E35" s="1" t="s">
        <v>58</v>
      </c>
      <c r="F35" s="2">
        <v>0.53365740740740741</v>
      </c>
      <c r="G35" s="1">
        <v>0.66</v>
      </c>
      <c r="H35" s="1">
        <v>0.66500000000000004</v>
      </c>
      <c r="I35" s="1">
        <v>0.67500000000000004</v>
      </c>
      <c r="J35" s="1">
        <v>0.67300000000000004</v>
      </c>
      <c r="K35" s="1">
        <v>0.66800000000000004</v>
      </c>
      <c r="L35" s="1">
        <v>0.68400000000000005</v>
      </c>
      <c r="M35" s="1">
        <v>0.69099999999999995</v>
      </c>
      <c r="N35" s="1">
        <v>0.69199999999999995</v>
      </c>
      <c r="O35" s="1">
        <v>0.69399999999999995</v>
      </c>
      <c r="P35" s="1">
        <v>0.67</v>
      </c>
      <c r="R35" s="4">
        <f t="shared" si="2"/>
        <v>0.67720000000000002</v>
      </c>
      <c r="S35" s="4">
        <f t="shared" si="3"/>
        <v>1.1582745788456174E-2</v>
      </c>
    </row>
    <row r="36" spans="1:27" x14ac:dyDescent="0.2">
      <c r="A36" s="1" t="s">
        <v>3</v>
      </c>
      <c r="B36" s="1">
        <v>120</v>
      </c>
      <c r="C36" s="1">
        <v>5</v>
      </c>
      <c r="D36" s="1" t="s">
        <v>40</v>
      </c>
      <c r="E36" s="1" t="s">
        <v>58</v>
      </c>
      <c r="F36" s="2">
        <v>0.53450231481481481</v>
      </c>
      <c r="G36" s="1">
        <v>0.68</v>
      </c>
      <c r="H36" s="1">
        <v>0.66200000000000003</v>
      </c>
      <c r="I36" s="1">
        <v>0.68400000000000005</v>
      </c>
      <c r="J36" s="1">
        <v>0.68100000000000005</v>
      </c>
      <c r="K36" s="1">
        <v>0.68899999999999995</v>
      </c>
      <c r="L36" s="1">
        <v>0.69199999999999995</v>
      </c>
      <c r="M36" s="1">
        <v>0.68600000000000005</v>
      </c>
      <c r="N36" s="1">
        <v>0.68700000000000006</v>
      </c>
      <c r="O36" s="1">
        <v>0.69</v>
      </c>
      <c r="P36" s="1">
        <v>0.69</v>
      </c>
      <c r="R36" s="4">
        <f t="shared" si="2"/>
        <v>0.68409999999999993</v>
      </c>
      <c r="S36" s="4">
        <f t="shared" si="3"/>
        <v>8.2637763764516012E-3</v>
      </c>
    </row>
    <row r="37" spans="1:27" x14ac:dyDescent="0.2">
      <c r="A37" s="1" t="s">
        <v>3</v>
      </c>
      <c r="B37" s="1">
        <v>180</v>
      </c>
      <c r="C37" s="1">
        <v>1</v>
      </c>
      <c r="D37" s="1" t="s">
        <v>41</v>
      </c>
      <c r="E37" s="1" t="s">
        <v>58</v>
      </c>
      <c r="F37" s="2">
        <v>0.54122685185185182</v>
      </c>
      <c r="G37" s="1">
        <v>0.67500000000000004</v>
      </c>
      <c r="H37" s="1">
        <v>0.67400000000000004</v>
      </c>
      <c r="I37" s="1">
        <v>0.68</v>
      </c>
      <c r="J37" s="1">
        <v>0.68100000000000005</v>
      </c>
      <c r="K37" s="1">
        <v>0.68799999999999994</v>
      </c>
      <c r="L37" s="1">
        <v>0.68600000000000005</v>
      </c>
      <c r="M37" s="1">
        <v>0.68899999999999995</v>
      </c>
      <c r="N37" s="1">
        <v>0.68</v>
      </c>
      <c r="O37" s="1">
        <v>0.67900000000000005</v>
      </c>
      <c r="P37" s="1">
        <v>0.66</v>
      </c>
      <c r="R37" s="4">
        <f t="shared" si="2"/>
        <v>0.67920000000000003</v>
      </c>
      <c r="S37" s="4">
        <f t="shared" si="3"/>
        <v>7.9849859110708334E-3</v>
      </c>
      <c r="T37" s="4">
        <f>AVERAGE(G37:P41)</f>
        <v>0.66483999999999999</v>
      </c>
      <c r="U37" s="4">
        <f>_xlfn.STDEV.P(G37:P41)</f>
        <v>1.6064071712987342E-2</v>
      </c>
    </row>
    <row r="38" spans="1:27" x14ac:dyDescent="0.2">
      <c r="A38" s="1" t="s">
        <v>3</v>
      </c>
      <c r="B38" s="1">
        <v>180</v>
      </c>
      <c r="C38" s="1">
        <v>2</v>
      </c>
      <c r="D38" s="1" t="s">
        <v>42</v>
      </c>
      <c r="E38" s="1" t="s">
        <v>58</v>
      </c>
      <c r="F38" s="2">
        <v>0.54231481481481481</v>
      </c>
      <c r="G38" s="1">
        <v>0.65</v>
      </c>
      <c r="H38" s="1">
        <v>0.67</v>
      </c>
      <c r="I38" s="1">
        <v>0.65100000000000002</v>
      </c>
      <c r="J38" s="1">
        <v>0.65200000000000002</v>
      </c>
      <c r="K38" s="1">
        <v>0.65</v>
      </c>
      <c r="L38" s="1">
        <v>0.65800000000000003</v>
      </c>
      <c r="M38" s="1">
        <v>0.63700000000000001</v>
      </c>
      <c r="N38" s="1">
        <v>0.626</v>
      </c>
      <c r="O38" s="1">
        <v>0.63400000000000001</v>
      </c>
      <c r="P38" s="1">
        <v>0.66</v>
      </c>
      <c r="R38" s="4">
        <f t="shared" si="2"/>
        <v>0.64880000000000004</v>
      </c>
      <c r="S38" s="4">
        <f t="shared" si="3"/>
        <v>1.2472369462135103E-2</v>
      </c>
    </row>
    <row r="39" spans="1:27" x14ac:dyDescent="0.2">
      <c r="A39" s="1" t="s">
        <v>3</v>
      </c>
      <c r="B39" s="1">
        <v>180</v>
      </c>
      <c r="C39" s="1">
        <v>3</v>
      </c>
      <c r="D39" s="1" t="s">
        <v>43</v>
      </c>
      <c r="E39" s="1" t="s">
        <v>58</v>
      </c>
      <c r="F39" s="2">
        <v>0.54351851851851851</v>
      </c>
      <c r="G39" s="1">
        <v>0.69299999999999995</v>
      </c>
      <c r="H39" s="1">
        <v>0.67200000000000004</v>
      </c>
      <c r="I39" s="1">
        <v>0.68</v>
      </c>
      <c r="J39" s="1">
        <v>0.67700000000000005</v>
      </c>
      <c r="K39" s="1">
        <v>0.66800000000000004</v>
      </c>
      <c r="L39" s="1">
        <v>0.67200000000000004</v>
      </c>
      <c r="M39" s="1">
        <v>0.67100000000000004</v>
      </c>
      <c r="N39" s="1">
        <v>0.66500000000000004</v>
      </c>
      <c r="O39" s="1">
        <v>0.67300000000000004</v>
      </c>
      <c r="P39" s="1">
        <v>0.65700000000000003</v>
      </c>
      <c r="R39" s="4">
        <f t="shared" si="2"/>
        <v>0.67280000000000006</v>
      </c>
      <c r="S39" s="4">
        <f t="shared" si="3"/>
        <v>9.0310575239004928E-3</v>
      </c>
    </row>
    <row r="40" spans="1:27" x14ac:dyDescent="0.2">
      <c r="A40" s="1" t="s">
        <v>3</v>
      </c>
      <c r="B40" s="1">
        <v>180</v>
      </c>
      <c r="C40" s="1">
        <v>4</v>
      </c>
      <c r="D40" s="1" t="s">
        <v>44</v>
      </c>
      <c r="E40" s="1" t="s">
        <v>58</v>
      </c>
      <c r="F40" s="2">
        <v>0.54439814814814813</v>
      </c>
      <c r="G40" s="1">
        <v>0.63400000000000001</v>
      </c>
      <c r="H40" s="1">
        <v>0.65200000000000002</v>
      </c>
      <c r="I40" s="1">
        <v>0.63100000000000001</v>
      </c>
      <c r="J40" s="1">
        <v>0.67500000000000004</v>
      </c>
      <c r="K40" s="1">
        <v>0.66</v>
      </c>
      <c r="L40" s="1">
        <v>0.66</v>
      </c>
      <c r="M40" s="1">
        <v>0.65800000000000003</v>
      </c>
      <c r="N40" s="1">
        <v>0.65400000000000003</v>
      </c>
      <c r="O40" s="1">
        <v>0.67500000000000004</v>
      </c>
      <c r="P40" s="1">
        <v>0.67900000000000005</v>
      </c>
      <c r="R40" s="4">
        <f t="shared" si="2"/>
        <v>0.65780000000000005</v>
      </c>
      <c r="S40" s="4">
        <f t="shared" si="3"/>
        <v>1.5438911878756236E-2</v>
      </c>
    </row>
    <row r="41" spans="1:27" x14ac:dyDescent="0.2">
      <c r="A41" s="1" t="s">
        <v>3</v>
      </c>
      <c r="B41" s="1">
        <v>180</v>
      </c>
      <c r="C41" s="1">
        <v>5</v>
      </c>
      <c r="D41" s="1" t="s">
        <v>45</v>
      </c>
      <c r="E41" s="1" t="s">
        <v>58</v>
      </c>
      <c r="F41" s="2">
        <v>0.54531249999999998</v>
      </c>
      <c r="G41" s="1">
        <v>0.65500000000000003</v>
      </c>
      <c r="H41" s="1">
        <v>0.64600000000000002</v>
      </c>
      <c r="I41" s="1">
        <v>0.64900000000000002</v>
      </c>
      <c r="J41" s="1">
        <v>0.67100000000000004</v>
      </c>
      <c r="K41" s="1">
        <v>0.68500000000000005</v>
      </c>
      <c r="L41" s="1">
        <v>0.68</v>
      </c>
      <c r="M41" s="1">
        <v>0.66</v>
      </c>
      <c r="N41" s="1">
        <v>0.67100000000000004</v>
      </c>
      <c r="O41" s="1">
        <v>0.65800000000000003</v>
      </c>
      <c r="P41" s="1">
        <v>0.68100000000000005</v>
      </c>
      <c r="R41" s="4">
        <f t="shared" si="2"/>
        <v>0.66560000000000019</v>
      </c>
      <c r="S41" s="4">
        <f t="shared" si="3"/>
        <v>1.3192422067232396E-2</v>
      </c>
    </row>
    <row r="43" spans="1:27" x14ac:dyDescent="0.2">
      <c r="A43" s="1" t="s">
        <v>46</v>
      </c>
      <c r="B43" s="1">
        <v>0</v>
      </c>
      <c r="C43" s="1">
        <v>1</v>
      </c>
      <c r="D43" s="1" t="s">
        <v>4</v>
      </c>
      <c r="E43" s="1" t="s">
        <v>58</v>
      </c>
      <c r="F43" s="2">
        <v>0.43072916666666666</v>
      </c>
      <c r="G43" s="1">
        <v>0.68600000000000005</v>
      </c>
      <c r="H43" s="1">
        <v>0.67700000000000005</v>
      </c>
      <c r="I43" s="1">
        <v>0.67500000000000004</v>
      </c>
      <c r="J43" s="1">
        <v>0.67500000000000004</v>
      </c>
      <c r="K43" s="1">
        <v>0.67900000000000005</v>
      </c>
      <c r="L43" s="1">
        <v>0.68100000000000005</v>
      </c>
      <c r="M43" s="1">
        <v>0.68500000000000005</v>
      </c>
      <c r="N43" s="1">
        <v>0.66700000000000004</v>
      </c>
      <c r="O43" s="1">
        <v>0.67800000000000005</v>
      </c>
      <c r="P43" s="1">
        <v>0.68799999999999994</v>
      </c>
      <c r="R43" s="4">
        <f>AVERAGE(G43:P43)</f>
        <v>0.67910000000000004</v>
      </c>
      <c r="S43" s="4">
        <f>_xlfn.STDEV.P(G43:P43)</f>
        <v>5.9236812878479435E-3</v>
      </c>
      <c r="T43" s="4">
        <f>AVERAGE(G43:P47)</f>
        <v>0.65867999999999982</v>
      </c>
      <c r="U43" s="4">
        <f>_xlfn.STDEV.P(G43:P47)</f>
        <v>1.9296051409550107E-2</v>
      </c>
      <c r="V43" s="1">
        <v>1.5599999999999999E-2</v>
      </c>
      <c r="W43" s="1">
        <v>1.5599999999999999E-2</v>
      </c>
      <c r="X43" s="1">
        <v>0.22320000000000001</v>
      </c>
      <c r="Y43" s="1">
        <v>0.22839999999999999</v>
      </c>
      <c r="Z43" s="5">
        <f>Y43-X43</f>
        <v>5.1999999999999824E-3</v>
      </c>
      <c r="AA43" s="6">
        <f>(W43-Z43)/(V43-Z43)*100</f>
        <v>100</v>
      </c>
    </row>
    <row r="44" spans="1:27" x14ac:dyDescent="0.2">
      <c r="A44" s="1" t="s">
        <v>46</v>
      </c>
      <c r="B44" s="1">
        <v>0</v>
      </c>
      <c r="C44" s="1">
        <v>2</v>
      </c>
      <c r="D44" s="1" t="s">
        <v>5</v>
      </c>
      <c r="E44" s="1" t="s">
        <v>58</v>
      </c>
      <c r="F44" s="2">
        <v>0.43174768518518519</v>
      </c>
      <c r="G44" s="1">
        <v>0.67500000000000004</v>
      </c>
      <c r="H44" s="1">
        <v>0.67200000000000004</v>
      </c>
      <c r="I44" s="1">
        <v>0.66100000000000003</v>
      </c>
      <c r="J44" s="1">
        <v>0.65200000000000002</v>
      </c>
      <c r="K44" s="1">
        <v>0.63800000000000001</v>
      </c>
      <c r="L44" s="1">
        <v>0.63600000000000001</v>
      </c>
      <c r="M44" s="1">
        <v>0.66300000000000003</v>
      </c>
      <c r="N44" s="1">
        <v>0.67300000000000004</v>
      </c>
      <c r="O44" s="1">
        <v>0.66600000000000004</v>
      </c>
      <c r="P44" s="1">
        <v>0.67800000000000005</v>
      </c>
      <c r="R44" s="4">
        <f t="shared" ref="R44:R82" si="8">AVERAGE(G44:P44)</f>
        <v>0.6614000000000001</v>
      </c>
      <c r="S44" s="4">
        <f t="shared" ref="S44:S82" si="9">_xlfn.STDEV.P(G44:P44)</f>
        <v>1.418590850104428E-2</v>
      </c>
      <c r="T44" s="4"/>
      <c r="U44" s="4"/>
      <c r="V44" s="1">
        <v>4.6899999999999997E-2</v>
      </c>
      <c r="W44" s="1">
        <v>4.6899999999999997E-2</v>
      </c>
      <c r="X44" s="1">
        <v>0.22120000000000001</v>
      </c>
      <c r="Y44" s="1">
        <v>0.2349</v>
      </c>
      <c r="Z44" s="5">
        <f t="shared" ref="Z44:Z82" si="10">Y44-X44</f>
        <v>1.369999999999999E-2</v>
      </c>
      <c r="AA44" s="6">
        <f t="shared" ref="AA44:AA82" si="11">(W44-Z44)/(V44-Z44)*100</f>
        <v>100</v>
      </c>
    </row>
    <row r="45" spans="1:27" x14ac:dyDescent="0.2">
      <c r="A45" s="1" t="s">
        <v>46</v>
      </c>
      <c r="B45" s="1">
        <v>0</v>
      </c>
      <c r="C45" s="1">
        <v>3</v>
      </c>
      <c r="D45" s="1" t="s">
        <v>6</v>
      </c>
      <c r="E45" s="1" t="s">
        <v>58</v>
      </c>
      <c r="F45" s="2">
        <v>0.43266203703703704</v>
      </c>
      <c r="G45" s="1">
        <v>0.65600000000000003</v>
      </c>
      <c r="H45" s="1">
        <v>0.66800000000000004</v>
      </c>
      <c r="I45" s="1">
        <v>0.64400000000000002</v>
      </c>
      <c r="J45" s="1">
        <v>0.67</v>
      </c>
      <c r="K45" s="1">
        <v>0.65900000000000003</v>
      </c>
      <c r="L45" s="1">
        <v>0.64900000000000002</v>
      </c>
      <c r="M45" s="1">
        <v>0.66</v>
      </c>
      <c r="N45" s="1">
        <v>0.64400000000000002</v>
      </c>
      <c r="O45" s="1">
        <v>0.65600000000000003</v>
      </c>
      <c r="P45" s="1">
        <v>0.63700000000000001</v>
      </c>
      <c r="R45" s="4">
        <f t="shared" si="8"/>
        <v>0.65429999999999988</v>
      </c>
      <c r="S45" s="4">
        <f t="shared" si="9"/>
        <v>1.0169070754006984E-2</v>
      </c>
      <c r="T45" s="4"/>
      <c r="U45" s="4"/>
      <c r="V45" s="1">
        <v>3.5900000000000001E-2</v>
      </c>
      <c r="W45" s="1">
        <v>3.5900000000000001E-2</v>
      </c>
      <c r="X45" s="1">
        <v>0.2331</v>
      </c>
      <c r="Y45" s="1">
        <v>0.2432</v>
      </c>
      <c r="Z45" s="5">
        <f t="shared" si="10"/>
        <v>1.0099999999999998E-2</v>
      </c>
      <c r="AA45" s="6">
        <f t="shared" si="11"/>
        <v>100</v>
      </c>
    </row>
    <row r="46" spans="1:27" x14ac:dyDescent="0.2">
      <c r="A46" s="1" t="s">
        <v>46</v>
      </c>
      <c r="B46" s="1">
        <v>0</v>
      </c>
      <c r="C46" s="1">
        <v>4</v>
      </c>
      <c r="D46" s="1" t="s">
        <v>7</v>
      </c>
      <c r="E46" s="1" t="s">
        <v>58</v>
      </c>
      <c r="F46" s="2">
        <v>0.43353009259259262</v>
      </c>
      <c r="G46" s="1">
        <v>0.67100000000000004</v>
      </c>
      <c r="H46" s="1">
        <v>0.66400000000000003</v>
      </c>
      <c r="I46" s="1">
        <v>0.63500000000000001</v>
      </c>
      <c r="J46" s="1">
        <v>0.63</v>
      </c>
      <c r="K46" s="1">
        <v>0.63300000000000001</v>
      </c>
      <c r="L46" s="1">
        <v>0.61199999999999999</v>
      </c>
      <c r="M46" s="1">
        <v>0.61299999999999999</v>
      </c>
      <c r="N46" s="1">
        <v>0.65</v>
      </c>
      <c r="O46" s="1">
        <v>0.61499999999999999</v>
      </c>
      <c r="P46" s="1">
        <v>0.63700000000000001</v>
      </c>
      <c r="R46" s="4">
        <f t="shared" si="8"/>
        <v>0.63600000000000012</v>
      </c>
      <c r="S46" s="4">
        <f t="shared" si="9"/>
        <v>1.9488458122694074E-2</v>
      </c>
      <c r="T46" s="4"/>
      <c r="U46" s="4"/>
      <c r="V46" s="1">
        <v>2.3199999999999998E-2</v>
      </c>
      <c r="W46" s="1">
        <v>2.3199999999999998E-2</v>
      </c>
      <c r="X46" s="1">
        <v>0.24779999999999999</v>
      </c>
      <c r="Y46" s="1">
        <v>0.254</v>
      </c>
      <c r="Z46" s="5">
        <f t="shared" si="10"/>
        <v>6.2000000000000111E-3</v>
      </c>
      <c r="AA46" s="6">
        <f t="shared" si="11"/>
        <v>100</v>
      </c>
    </row>
    <row r="47" spans="1:27" x14ac:dyDescent="0.2">
      <c r="A47" s="1" t="s">
        <v>46</v>
      </c>
      <c r="B47" s="1">
        <v>0</v>
      </c>
      <c r="C47" s="1">
        <v>5</v>
      </c>
      <c r="D47" s="1" t="s">
        <v>8</v>
      </c>
      <c r="E47" s="1" t="s">
        <v>58</v>
      </c>
      <c r="F47" s="2">
        <v>0.43459490740740742</v>
      </c>
      <c r="G47" s="1">
        <v>0.68200000000000005</v>
      </c>
      <c r="H47" s="1">
        <v>0.67</v>
      </c>
      <c r="I47" s="1">
        <v>0.65900000000000003</v>
      </c>
      <c r="J47" s="1">
        <v>0.68</v>
      </c>
      <c r="K47" s="1">
        <v>0.67500000000000004</v>
      </c>
      <c r="L47" s="1">
        <v>0.66200000000000003</v>
      </c>
      <c r="M47" s="1">
        <v>0.64500000000000002</v>
      </c>
      <c r="N47" s="1">
        <v>0.64700000000000002</v>
      </c>
      <c r="O47" s="1">
        <v>0.65800000000000003</v>
      </c>
      <c r="P47" s="1">
        <v>0.64800000000000002</v>
      </c>
      <c r="R47" s="4">
        <f t="shared" si="8"/>
        <v>0.66260000000000008</v>
      </c>
      <c r="S47" s="4">
        <f t="shared" si="9"/>
        <v>1.2993844696624641E-2</v>
      </c>
      <c r="T47" s="4"/>
      <c r="U47" s="4"/>
      <c r="V47" s="1">
        <v>0.06</v>
      </c>
      <c r="W47" s="1">
        <v>0.06</v>
      </c>
      <c r="X47" s="1">
        <v>0.23269999999999999</v>
      </c>
      <c r="Y47" s="1">
        <v>0.2477</v>
      </c>
      <c r="Z47" s="5">
        <f t="shared" si="10"/>
        <v>1.5000000000000013E-2</v>
      </c>
      <c r="AA47" s="6">
        <f t="shared" si="11"/>
        <v>100</v>
      </c>
    </row>
    <row r="48" spans="1:27" x14ac:dyDescent="0.2">
      <c r="A48" s="1" t="s">
        <v>46</v>
      </c>
      <c r="B48" s="1">
        <v>10</v>
      </c>
      <c r="C48" s="1">
        <v>1</v>
      </c>
      <c r="D48" s="1" t="s">
        <v>21</v>
      </c>
      <c r="E48" s="1" t="s">
        <v>58</v>
      </c>
      <c r="F48" s="2">
        <v>0.38842592592592595</v>
      </c>
      <c r="G48" s="1">
        <v>0.70699999999999996</v>
      </c>
      <c r="H48" s="1">
        <v>0.72099999999999997</v>
      </c>
      <c r="I48" s="1">
        <v>0.69399999999999995</v>
      </c>
      <c r="J48" s="1">
        <v>0.67900000000000005</v>
      </c>
      <c r="K48" s="1">
        <v>0.68799999999999994</v>
      </c>
      <c r="L48" s="1">
        <v>0.69499999999999995</v>
      </c>
      <c r="M48" s="1">
        <v>0.68200000000000005</v>
      </c>
      <c r="N48" s="1">
        <v>0.68300000000000005</v>
      </c>
      <c r="O48" s="1">
        <v>0.66800000000000004</v>
      </c>
      <c r="P48" s="1">
        <v>0.66500000000000004</v>
      </c>
      <c r="R48" s="4">
        <f t="shared" si="8"/>
        <v>0.68820000000000003</v>
      </c>
      <c r="S48" s="4">
        <f t="shared" si="9"/>
        <v>1.6141871019184826E-2</v>
      </c>
      <c r="T48" s="4">
        <f>AVERAGE(G48:P52)</f>
        <v>0.66477999999999982</v>
      </c>
      <c r="U48" s="4">
        <f>_xlfn.STDEV.P(G48:P52)</f>
        <v>2.4140662791232545E-2</v>
      </c>
      <c r="V48" s="1">
        <v>4.4900000000000002E-2</v>
      </c>
      <c r="W48" s="1">
        <v>3.5700000000000003E-2</v>
      </c>
      <c r="X48" s="1">
        <v>0.23749999999999999</v>
      </c>
      <c r="Y48" s="1">
        <v>0.25</v>
      </c>
      <c r="Z48" s="5">
        <f t="shared" si="10"/>
        <v>1.2500000000000011E-2</v>
      </c>
      <c r="AA48" s="6">
        <f t="shared" si="11"/>
        <v>71.604938271604937</v>
      </c>
    </row>
    <row r="49" spans="1:27" x14ac:dyDescent="0.2">
      <c r="A49" s="1" t="s">
        <v>46</v>
      </c>
      <c r="B49" s="1">
        <v>10</v>
      </c>
      <c r="C49" s="1">
        <v>2</v>
      </c>
      <c r="D49" s="1" t="s">
        <v>22</v>
      </c>
      <c r="E49" s="1" t="s">
        <v>58</v>
      </c>
      <c r="F49" s="2">
        <v>0.38935185185185189</v>
      </c>
      <c r="G49" s="1">
        <v>0.65600000000000003</v>
      </c>
      <c r="H49" s="1">
        <v>0.64700000000000002</v>
      </c>
      <c r="I49" s="1">
        <v>0.66500000000000004</v>
      </c>
      <c r="J49" s="1">
        <v>0.67600000000000005</v>
      </c>
      <c r="K49" s="1">
        <v>0.67900000000000005</v>
      </c>
      <c r="L49" s="1">
        <v>0.68100000000000005</v>
      </c>
      <c r="M49" s="1">
        <v>0.66100000000000003</v>
      </c>
      <c r="N49" s="1">
        <v>0.64900000000000002</v>
      </c>
      <c r="O49" s="1">
        <v>0.65700000000000003</v>
      </c>
      <c r="P49" s="1">
        <v>0.68200000000000005</v>
      </c>
      <c r="R49" s="4">
        <f t="shared" si="8"/>
        <v>0.66530000000000011</v>
      </c>
      <c r="S49" s="4">
        <f t="shared" si="9"/>
        <v>1.2657408897558786E-2</v>
      </c>
      <c r="V49" s="1">
        <v>5.5599999999999997E-2</v>
      </c>
      <c r="W49" s="1">
        <v>4.5499999999999999E-2</v>
      </c>
      <c r="X49" s="1">
        <v>0.23549999999999999</v>
      </c>
      <c r="Y49" s="1">
        <v>0.25130000000000002</v>
      </c>
      <c r="Z49" s="5">
        <f t="shared" si="10"/>
        <v>1.5800000000000036E-2</v>
      </c>
      <c r="AA49" s="6">
        <f t="shared" si="11"/>
        <v>74.623115577889436</v>
      </c>
    </row>
    <row r="50" spans="1:27" x14ac:dyDescent="0.2">
      <c r="A50" s="1" t="s">
        <v>46</v>
      </c>
      <c r="B50" s="1">
        <v>10</v>
      </c>
      <c r="C50" s="1">
        <v>3</v>
      </c>
      <c r="D50" s="1" t="s">
        <v>23</v>
      </c>
      <c r="E50" s="1" t="s">
        <v>58</v>
      </c>
      <c r="F50" s="2">
        <v>0.40825231481481478</v>
      </c>
      <c r="G50" s="1">
        <v>0.67300000000000004</v>
      </c>
      <c r="H50" s="1">
        <v>0.66700000000000004</v>
      </c>
      <c r="I50" s="1">
        <v>0.64700000000000002</v>
      </c>
      <c r="J50" s="1">
        <v>0.65100000000000002</v>
      </c>
      <c r="K50" s="1">
        <v>0.65100000000000002</v>
      </c>
      <c r="L50" s="1">
        <v>0.64700000000000002</v>
      </c>
      <c r="M50" s="1">
        <v>0.64400000000000002</v>
      </c>
      <c r="N50" s="1">
        <v>0.63600000000000001</v>
      </c>
      <c r="O50" s="1">
        <v>0.63200000000000001</v>
      </c>
      <c r="P50" s="1">
        <v>0.621</v>
      </c>
      <c r="R50" s="4">
        <f t="shared" si="8"/>
        <v>0.64689999999999992</v>
      </c>
      <c r="S50" s="4">
        <f t="shared" si="9"/>
        <v>1.4624978632463035E-2</v>
      </c>
      <c r="V50" s="1">
        <v>1.9300000000000001E-2</v>
      </c>
      <c r="W50" s="1">
        <v>1.3299999999999999E-2</v>
      </c>
      <c r="X50" s="1">
        <v>0.23580000000000001</v>
      </c>
      <c r="Y50" s="1">
        <v>0.24129999999999999</v>
      </c>
      <c r="Z50" s="5">
        <f t="shared" si="10"/>
        <v>5.4999999999999771E-3</v>
      </c>
      <c r="AA50" s="6">
        <f t="shared" si="11"/>
        <v>56.521739130434845</v>
      </c>
    </row>
    <row r="51" spans="1:27" x14ac:dyDescent="0.2">
      <c r="A51" s="1" t="s">
        <v>46</v>
      </c>
      <c r="B51" s="1">
        <v>10</v>
      </c>
      <c r="C51" s="1">
        <v>4</v>
      </c>
      <c r="D51" s="1" t="s">
        <v>24</v>
      </c>
      <c r="E51" s="1" t="s">
        <v>58</v>
      </c>
      <c r="F51" s="2">
        <v>0.47841435185185183</v>
      </c>
      <c r="G51" s="1">
        <v>0.65500000000000003</v>
      </c>
      <c r="H51" s="1">
        <v>0.64700000000000002</v>
      </c>
      <c r="I51" s="1">
        <v>0.65</v>
      </c>
      <c r="J51" s="1">
        <v>0.64700000000000002</v>
      </c>
      <c r="K51" s="1">
        <v>0.65100000000000002</v>
      </c>
      <c r="L51" s="1">
        <v>0.64800000000000002</v>
      </c>
      <c r="M51" s="1">
        <v>0.60899999999999999</v>
      </c>
      <c r="N51" s="1">
        <v>0.65400000000000003</v>
      </c>
      <c r="O51" s="1">
        <v>0.63100000000000001</v>
      </c>
      <c r="P51" s="1">
        <v>0.65</v>
      </c>
      <c r="R51" s="4">
        <f t="shared" si="8"/>
        <v>0.64419999999999999</v>
      </c>
      <c r="S51" s="4">
        <f t="shared" si="9"/>
        <v>1.3302631318652725E-2</v>
      </c>
      <c r="V51" s="1">
        <v>2.7300000000000001E-2</v>
      </c>
      <c r="W51" s="1">
        <v>2.18E-2</v>
      </c>
      <c r="X51" s="1">
        <v>0.24</v>
      </c>
      <c r="Y51" s="1">
        <v>0.24790000000000001</v>
      </c>
      <c r="Z51" s="5">
        <f t="shared" si="10"/>
        <v>7.9000000000000181E-3</v>
      </c>
      <c r="AA51" s="6">
        <f t="shared" si="11"/>
        <v>71.64948453608244</v>
      </c>
    </row>
    <row r="52" spans="1:27" x14ac:dyDescent="0.2">
      <c r="A52" s="1" t="s">
        <v>46</v>
      </c>
      <c r="B52" s="1">
        <v>10</v>
      </c>
      <c r="C52" s="1">
        <v>5</v>
      </c>
      <c r="D52" s="1" t="s">
        <v>25</v>
      </c>
      <c r="E52" s="1" t="s">
        <v>58</v>
      </c>
      <c r="F52" s="2">
        <v>0.47946759259259258</v>
      </c>
      <c r="G52" s="1">
        <v>0.69799999999999995</v>
      </c>
      <c r="H52" s="1">
        <v>0.66800000000000004</v>
      </c>
      <c r="I52" s="1">
        <v>0.68700000000000006</v>
      </c>
      <c r="J52" s="1">
        <v>0.66800000000000004</v>
      </c>
      <c r="K52" s="1">
        <v>0.67400000000000004</v>
      </c>
      <c r="L52" s="1">
        <v>0.627</v>
      </c>
      <c r="M52" s="1">
        <v>0.66200000000000003</v>
      </c>
      <c r="N52" s="1">
        <v>0.72199999999999998</v>
      </c>
      <c r="O52" s="1">
        <v>0.68899999999999995</v>
      </c>
      <c r="P52" s="1">
        <v>0.69799999999999995</v>
      </c>
      <c r="R52" s="4">
        <f t="shared" si="8"/>
        <v>0.67930000000000013</v>
      </c>
      <c r="S52" s="4">
        <f t="shared" si="9"/>
        <v>2.4482851141155906E-2</v>
      </c>
      <c r="V52" s="1">
        <v>5.6599999999999998E-2</v>
      </c>
      <c r="W52" s="1">
        <v>4.8000000000000001E-2</v>
      </c>
      <c r="X52" s="1">
        <v>0.23330000000000001</v>
      </c>
      <c r="Y52" s="1">
        <v>0.24979999999999999</v>
      </c>
      <c r="Z52" s="5">
        <f t="shared" si="10"/>
        <v>1.6499999999999987E-2</v>
      </c>
      <c r="AA52" s="6">
        <f t="shared" si="11"/>
        <v>78.553615960099762</v>
      </c>
    </row>
    <row r="53" spans="1:27" x14ac:dyDescent="0.2">
      <c r="A53" s="1" t="s">
        <v>46</v>
      </c>
      <c r="B53" s="1">
        <v>20</v>
      </c>
      <c r="C53" s="1">
        <v>1</v>
      </c>
      <c r="D53" s="7" t="s">
        <v>59</v>
      </c>
      <c r="E53" s="7" t="s">
        <v>58</v>
      </c>
      <c r="F53" s="8">
        <v>0.56936342592592593</v>
      </c>
      <c r="G53" s="7">
        <v>0.65</v>
      </c>
      <c r="H53" s="7">
        <v>0.376</v>
      </c>
      <c r="I53" s="7">
        <v>0.66800000000000004</v>
      </c>
      <c r="J53" s="7">
        <v>0.629</v>
      </c>
      <c r="K53" s="7">
        <v>0.66700000000000004</v>
      </c>
      <c r="L53" s="7">
        <v>0.65300000000000002</v>
      </c>
      <c r="M53" s="7">
        <v>0.41399999999999998</v>
      </c>
      <c r="N53" s="7">
        <v>0.153</v>
      </c>
      <c r="O53" s="7">
        <v>0.55800000000000005</v>
      </c>
      <c r="P53" s="7">
        <v>0.58199999999999996</v>
      </c>
      <c r="R53" s="4">
        <f t="shared" ref="R53:R57" si="12">AVERAGE(G53:P53)</f>
        <v>0.53499999999999992</v>
      </c>
      <c r="S53" s="4">
        <f t="shared" ref="S53:S57" si="13">_xlfn.STDEV.P(G53:P53)</f>
        <v>0.16114651718234596</v>
      </c>
      <c r="T53" s="4">
        <f>AVERAGE(G53:P57)</f>
        <v>0.57799999999999996</v>
      </c>
      <c r="U53" s="4">
        <f>_xlfn.STDEV.P(G53:P57)</f>
        <v>9.1294468616669608E-2</v>
      </c>
      <c r="V53" s="1">
        <v>2.6499999999999999E-2</v>
      </c>
      <c r="W53" s="1">
        <v>1.34E-2</v>
      </c>
      <c r="X53" s="1">
        <v>0.21809999999999999</v>
      </c>
      <c r="Y53" s="1">
        <v>0.22309999999999999</v>
      </c>
      <c r="Z53" s="5">
        <f t="shared" ref="Z53:Z57" si="14">Y53-X53</f>
        <v>5.0000000000000044E-3</v>
      </c>
      <c r="AA53" s="6">
        <f t="shared" ref="AA53:AA57" si="15">(W53-Z53)/(V53-Z53)*100</f>
        <v>39.069767441860456</v>
      </c>
    </row>
    <row r="54" spans="1:27" x14ac:dyDescent="0.2">
      <c r="A54" s="1" t="s">
        <v>46</v>
      </c>
      <c r="B54" s="1">
        <v>20</v>
      </c>
      <c r="C54" s="1">
        <v>2</v>
      </c>
      <c r="D54" s="1" t="s">
        <v>60</v>
      </c>
      <c r="E54" s="1" t="s">
        <v>58</v>
      </c>
      <c r="F54" s="2">
        <v>0.57040509259259264</v>
      </c>
      <c r="G54" s="1">
        <v>0.52500000000000002</v>
      </c>
      <c r="H54" s="1">
        <v>0.58199999999999996</v>
      </c>
      <c r="I54" s="1">
        <v>0.57599999999999996</v>
      </c>
      <c r="J54" s="1">
        <v>0.58899999999999997</v>
      </c>
      <c r="K54" s="1">
        <v>0.627</v>
      </c>
      <c r="L54" s="1">
        <v>0.55100000000000005</v>
      </c>
      <c r="M54" s="1">
        <v>0.59199999999999997</v>
      </c>
      <c r="N54" s="1">
        <v>0.64200000000000002</v>
      </c>
      <c r="O54" s="1">
        <v>0.64200000000000002</v>
      </c>
      <c r="P54" s="1">
        <v>0.626</v>
      </c>
      <c r="R54" s="4">
        <f t="shared" si="12"/>
        <v>0.59520000000000006</v>
      </c>
      <c r="S54" s="4">
        <f t="shared" si="13"/>
        <v>3.7166651718980551E-2</v>
      </c>
      <c r="V54" s="1">
        <v>2.64E-2</v>
      </c>
      <c r="W54" s="1">
        <v>1.55E-2</v>
      </c>
      <c r="X54" s="1">
        <v>0.22689999999999999</v>
      </c>
      <c r="Y54" s="1">
        <v>0.23400000000000001</v>
      </c>
      <c r="Z54" s="5">
        <f t="shared" si="14"/>
        <v>7.100000000000023E-3</v>
      </c>
      <c r="AA54" s="6">
        <f t="shared" si="15"/>
        <v>43.5233160621761</v>
      </c>
    </row>
    <row r="55" spans="1:27" x14ac:dyDescent="0.2">
      <c r="A55" s="1" t="s">
        <v>46</v>
      </c>
      <c r="B55" s="1">
        <v>20</v>
      </c>
      <c r="C55" s="1">
        <v>3</v>
      </c>
      <c r="D55" s="1" t="s">
        <v>61</v>
      </c>
      <c r="E55" s="1" t="s">
        <v>58</v>
      </c>
      <c r="F55" s="2">
        <v>0.57142361111111117</v>
      </c>
      <c r="G55" s="1">
        <v>0.68300000000000005</v>
      </c>
      <c r="H55" s="1">
        <v>0.624</v>
      </c>
      <c r="I55" s="1">
        <v>0.60399999999999998</v>
      </c>
      <c r="J55" s="1">
        <v>0.58399999999999996</v>
      </c>
      <c r="K55" s="1">
        <v>0.68</v>
      </c>
      <c r="L55" s="1">
        <v>0.69</v>
      </c>
      <c r="M55" s="1">
        <v>0.65400000000000003</v>
      </c>
      <c r="N55" s="1">
        <v>0.61499999999999999</v>
      </c>
      <c r="O55" s="1">
        <v>0.53900000000000003</v>
      </c>
      <c r="P55" s="1">
        <v>0.55600000000000005</v>
      </c>
      <c r="R55" s="4">
        <f t="shared" si="12"/>
        <v>0.62290000000000001</v>
      </c>
      <c r="S55" s="4">
        <f t="shared" si="13"/>
        <v>5.0784741803025835E-2</v>
      </c>
      <c r="V55" s="1">
        <v>4.3400000000000001E-2</v>
      </c>
      <c r="W55" s="1">
        <v>2.86E-2</v>
      </c>
      <c r="X55" s="1">
        <v>0.22789999999999999</v>
      </c>
      <c r="Y55" s="1">
        <v>0.24099999999999999</v>
      </c>
      <c r="Z55" s="5">
        <f t="shared" si="14"/>
        <v>1.3100000000000001E-2</v>
      </c>
      <c r="AA55" s="6">
        <f t="shared" si="15"/>
        <v>51.155115511551152</v>
      </c>
    </row>
    <row r="56" spans="1:27" x14ac:dyDescent="0.2">
      <c r="A56" s="1" t="s">
        <v>46</v>
      </c>
      <c r="B56" s="1">
        <v>20</v>
      </c>
      <c r="C56" s="1">
        <v>4</v>
      </c>
      <c r="D56" s="1" t="s">
        <v>62</v>
      </c>
      <c r="E56" s="1" t="s">
        <v>58</v>
      </c>
      <c r="F56" s="2">
        <v>0.5725231481481482</v>
      </c>
      <c r="G56" s="1">
        <v>0.59099999999999997</v>
      </c>
      <c r="H56" s="1">
        <v>0.61199999999999999</v>
      </c>
      <c r="I56" s="1">
        <v>0.54</v>
      </c>
      <c r="J56" s="1">
        <v>0.54</v>
      </c>
      <c r="K56" s="1">
        <v>0.61299999999999999</v>
      </c>
      <c r="L56" s="1">
        <v>0.53500000000000003</v>
      </c>
      <c r="M56" s="1">
        <v>0.61899999999999999</v>
      </c>
      <c r="N56" s="1">
        <v>0.58299999999999996</v>
      </c>
      <c r="O56" s="1">
        <v>0.59699999999999998</v>
      </c>
      <c r="P56" s="1">
        <v>0.46200000000000002</v>
      </c>
      <c r="R56" s="4">
        <f t="shared" si="12"/>
        <v>0.56920000000000004</v>
      </c>
      <c r="S56" s="4">
        <f t="shared" si="13"/>
        <v>4.6942091985764739E-2</v>
      </c>
      <c r="V56" s="1">
        <v>2.4199999999999999E-2</v>
      </c>
      <c r="W56" s="1">
        <v>1.5599999999999999E-2</v>
      </c>
      <c r="X56" s="1">
        <v>0.2195</v>
      </c>
      <c r="Y56" s="1">
        <v>0.22770000000000001</v>
      </c>
      <c r="Z56" s="5">
        <f t="shared" si="14"/>
        <v>8.2000000000000128E-3</v>
      </c>
      <c r="AA56" s="6">
        <f t="shared" si="15"/>
        <v>46.24999999999995</v>
      </c>
    </row>
    <row r="57" spans="1:27" x14ac:dyDescent="0.2">
      <c r="A57" s="1" t="s">
        <v>46</v>
      </c>
      <c r="B57" s="1">
        <v>20</v>
      </c>
      <c r="C57" s="1">
        <v>5</v>
      </c>
      <c r="D57" s="1" t="s">
        <v>63</v>
      </c>
      <c r="E57" s="1" t="s">
        <v>58</v>
      </c>
      <c r="F57" s="2">
        <v>0.57336805555555559</v>
      </c>
      <c r="G57" s="1">
        <v>0.58699999999999997</v>
      </c>
      <c r="H57" s="1">
        <v>0.44500000000000001</v>
      </c>
      <c r="I57" s="1">
        <v>0.50700000000000001</v>
      </c>
      <c r="J57" s="1">
        <v>0.61199999999999999</v>
      </c>
      <c r="K57" s="1">
        <v>0.629</v>
      </c>
      <c r="L57" s="1">
        <v>0.437</v>
      </c>
      <c r="M57" s="1">
        <v>0.629</v>
      </c>
      <c r="N57" s="1">
        <v>0.59299999999999997</v>
      </c>
      <c r="O57" s="1">
        <v>0.60499999999999998</v>
      </c>
      <c r="P57" s="1">
        <v>0.63300000000000001</v>
      </c>
      <c r="R57" s="4">
        <f t="shared" si="12"/>
        <v>0.56770000000000009</v>
      </c>
      <c r="S57" s="4">
        <f t="shared" si="13"/>
        <v>7.2088903445675909E-2</v>
      </c>
      <c r="V57" s="1">
        <v>3.6200000000000003E-2</v>
      </c>
      <c r="W57" s="1">
        <v>2.2100000000000002E-2</v>
      </c>
      <c r="X57" s="1">
        <v>0.2301</v>
      </c>
      <c r="Y57" s="1">
        <v>0.2392</v>
      </c>
      <c r="Z57" s="5">
        <f t="shared" si="14"/>
        <v>9.099999999999997E-3</v>
      </c>
      <c r="AA57" s="6">
        <f t="shared" si="15"/>
        <v>47.97047970479705</v>
      </c>
    </row>
    <row r="58" spans="1:27" x14ac:dyDescent="0.2">
      <c r="A58" s="1" t="s">
        <v>46</v>
      </c>
      <c r="B58" s="1">
        <v>30</v>
      </c>
      <c r="C58" s="1">
        <v>1</v>
      </c>
      <c r="D58" s="1" t="s">
        <v>26</v>
      </c>
      <c r="E58" s="1" t="s">
        <v>58</v>
      </c>
      <c r="F58" s="2">
        <v>0.65972222222222221</v>
      </c>
      <c r="G58" s="1">
        <v>0.52</v>
      </c>
      <c r="H58" s="1">
        <v>0.47399999999999998</v>
      </c>
      <c r="I58" s="1">
        <v>0.52400000000000002</v>
      </c>
      <c r="J58" s="1">
        <v>0.216</v>
      </c>
      <c r="K58" s="1">
        <v>0.495</v>
      </c>
      <c r="L58" s="1">
        <v>0.13500000000000001</v>
      </c>
      <c r="M58" s="1">
        <v>0.48299999999999998</v>
      </c>
      <c r="N58" s="1">
        <v>2.5999999999999999E-2</v>
      </c>
      <c r="O58" s="1">
        <v>0.48099999999999998</v>
      </c>
      <c r="P58" s="1">
        <v>0.39400000000000002</v>
      </c>
      <c r="R58" s="4">
        <f t="shared" si="8"/>
        <v>0.37479999999999997</v>
      </c>
      <c r="S58" s="4">
        <f t="shared" si="9"/>
        <v>0.17186320141321698</v>
      </c>
      <c r="T58" s="4">
        <f>AVERAGE(G58:P62)</f>
        <v>0.37181999999999993</v>
      </c>
      <c r="U58" s="4">
        <f>_xlfn.STDEV.P(G58:P62)</f>
        <v>0.18478860246238132</v>
      </c>
      <c r="V58" s="1">
        <v>3.9199999999999999E-2</v>
      </c>
      <c r="W58" s="1">
        <v>2.1399999999999999E-2</v>
      </c>
      <c r="X58" s="1">
        <v>0.2278</v>
      </c>
      <c r="Y58" s="1">
        <v>0.23980000000000001</v>
      </c>
      <c r="Z58" s="5">
        <f t="shared" si="10"/>
        <v>1.2000000000000011E-2</v>
      </c>
      <c r="AA58" s="6">
        <f t="shared" si="11"/>
        <v>34.55882352941174</v>
      </c>
    </row>
    <row r="59" spans="1:27" x14ac:dyDescent="0.2">
      <c r="A59" s="1" t="s">
        <v>46</v>
      </c>
      <c r="B59" s="1">
        <v>30</v>
      </c>
      <c r="C59" s="1">
        <v>2</v>
      </c>
      <c r="D59" s="1" t="s">
        <v>27</v>
      </c>
      <c r="E59" s="1" t="s">
        <v>58</v>
      </c>
      <c r="F59" s="2">
        <v>0.66065972222222225</v>
      </c>
      <c r="G59" s="1">
        <v>0.51</v>
      </c>
      <c r="H59" s="1">
        <v>0.54600000000000004</v>
      </c>
      <c r="I59" s="1">
        <v>0.49099999999999999</v>
      </c>
      <c r="J59" s="1">
        <v>0.56100000000000005</v>
      </c>
      <c r="K59" s="1">
        <v>0.58099999999999996</v>
      </c>
      <c r="L59" s="1">
        <v>0.26800000000000002</v>
      </c>
      <c r="M59" s="1">
        <v>0.56899999999999995</v>
      </c>
      <c r="N59" s="1">
        <v>0.58699999999999997</v>
      </c>
      <c r="O59" s="1">
        <v>0.57099999999999995</v>
      </c>
      <c r="P59" s="1">
        <v>0.53700000000000003</v>
      </c>
      <c r="R59" s="4">
        <f t="shared" si="8"/>
        <v>0.5220999999999999</v>
      </c>
      <c r="S59" s="4">
        <f t="shared" si="9"/>
        <v>8.9587331693717062E-2</v>
      </c>
      <c r="V59" s="1">
        <v>7.0099999999999996E-2</v>
      </c>
      <c r="W59" s="1">
        <v>4.2500000000000003E-2</v>
      </c>
      <c r="X59" s="1">
        <v>0.2233</v>
      </c>
      <c r="Y59" s="1">
        <v>0.24340000000000001</v>
      </c>
      <c r="Z59" s="5">
        <f t="shared" si="10"/>
        <v>2.0100000000000007E-2</v>
      </c>
      <c r="AA59" s="6">
        <f t="shared" si="11"/>
        <v>44.800000000000004</v>
      </c>
    </row>
    <row r="60" spans="1:27" x14ac:dyDescent="0.2">
      <c r="A60" s="1" t="s">
        <v>46</v>
      </c>
      <c r="B60" s="1">
        <v>30</v>
      </c>
      <c r="C60" s="1">
        <v>3</v>
      </c>
      <c r="D60" s="1" t="s">
        <v>28</v>
      </c>
      <c r="E60" s="1" t="s">
        <v>58</v>
      </c>
      <c r="F60" s="2">
        <v>0.6617939814814815</v>
      </c>
      <c r="G60" s="1">
        <v>0.52800000000000002</v>
      </c>
      <c r="H60" s="1">
        <v>0.6</v>
      </c>
      <c r="I60" s="1">
        <v>0.157</v>
      </c>
      <c r="J60" s="1">
        <v>0.308</v>
      </c>
      <c r="K60" s="1">
        <v>0.54100000000000004</v>
      </c>
      <c r="L60" s="1">
        <v>0.2</v>
      </c>
      <c r="M60" s="1">
        <v>0.27400000000000002</v>
      </c>
      <c r="N60" s="1">
        <v>0.51700000000000002</v>
      </c>
      <c r="O60" s="1">
        <v>0.372</v>
      </c>
      <c r="P60" s="1">
        <v>0.49299999999999999</v>
      </c>
      <c r="R60" s="4">
        <f t="shared" si="8"/>
        <v>0.39900000000000002</v>
      </c>
      <c r="S60" s="4">
        <f t="shared" si="9"/>
        <v>0.14925347567142269</v>
      </c>
      <c r="V60" s="1">
        <v>4.4200000000000003E-2</v>
      </c>
      <c r="W60" s="1">
        <v>2.07E-2</v>
      </c>
      <c r="X60" s="1">
        <v>0.2175</v>
      </c>
      <c r="Y60" s="1">
        <v>0.22819999999999999</v>
      </c>
      <c r="Z60" s="5">
        <f t="shared" si="10"/>
        <v>1.0699999999999987E-2</v>
      </c>
      <c r="AA60" s="6">
        <f t="shared" si="11"/>
        <v>29.850746268656742</v>
      </c>
    </row>
    <row r="61" spans="1:27" x14ac:dyDescent="0.2">
      <c r="A61" s="1" t="s">
        <v>46</v>
      </c>
      <c r="B61" s="1">
        <v>30</v>
      </c>
      <c r="C61" s="1">
        <v>4</v>
      </c>
      <c r="D61" s="1" t="s">
        <v>29</v>
      </c>
      <c r="E61" s="1" t="s">
        <v>58</v>
      </c>
      <c r="F61" s="2">
        <v>0.66270833333333334</v>
      </c>
      <c r="G61" s="1">
        <v>0.16500000000000001</v>
      </c>
      <c r="H61" s="1">
        <v>0.47599999999999998</v>
      </c>
      <c r="I61" s="1">
        <v>0.26100000000000001</v>
      </c>
      <c r="J61" s="1">
        <v>0.54300000000000004</v>
      </c>
      <c r="K61" s="1">
        <v>0.14099999999999999</v>
      </c>
      <c r="L61" s="1">
        <v>4.5999999999999999E-2</v>
      </c>
      <c r="M61" s="1">
        <v>0.56999999999999995</v>
      </c>
      <c r="N61" s="1">
        <v>0.55700000000000005</v>
      </c>
      <c r="O61" s="1">
        <v>0.56100000000000005</v>
      </c>
      <c r="P61" s="1">
        <v>0.184</v>
      </c>
      <c r="R61" s="4">
        <f t="shared" si="8"/>
        <v>0.35039999999999999</v>
      </c>
      <c r="S61" s="4">
        <f t="shared" si="9"/>
        <v>0.1986686688937136</v>
      </c>
      <c r="V61" s="1">
        <v>3.9100000000000003E-2</v>
      </c>
      <c r="W61" s="1">
        <v>2.0799999999999999E-2</v>
      </c>
      <c r="X61" s="1">
        <v>0.21959999999999999</v>
      </c>
      <c r="Y61" s="1">
        <v>0.2311</v>
      </c>
      <c r="Z61" s="5">
        <f t="shared" si="10"/>
        <v>1.150000000000001E-2</v>
      </c>
      <c r="AA61" s="6">
        <f t="shared" si="11"/>
        <v>33.695652173913011</v>
      </c>
    </row>
    <row r="62" spans="1:27" x14ac:dyDescent="0.2">
      <c r="A62" s="1" t="s">
        <v>46</v>
      </c>
      <c r="B62" s="1">
        <v>30</v>
      </c>
      <c r="C62" s="1">
        <v>5</v>
      </c>
      <c r="D62" s="1" t="s">
        <v>30</v>
      </c>
      <c r="E62" s="1" t="s">
        <v>58</v>
      </c>
      <c r="F62" s="2">
        <v>0.66365740740740742</v>
      </c>
      <c r="G62" s="1">
        <v>3.5999999999999997E-2</v>
      </c>
      <c r="H62" s="1">
        <v>0.28299999999999997</v>
      </c>
      <c r="I62" s="1">
        <v>0.19500000000000001</v>
      </c>
      <c r="J62" s="1">
        <v>0.13700000000000001</v>
      </c>
      <c r="K62" s="1">
        <v>0.42099999999999999</v>
      </c>
      <c r="L62" s="1">
        <v>0.17699999999999999</v>
      </c>
      <c r="M62" s="1">
        <v>2.5000000000000001E-2</v>
      </c>
      <c r="N62" s="1">
        <v>0.39</v>
      </c>
      <c r="O62" s="1">
        <v>0.41799999999999998</v>
      </c>
      <c r="P62" s="1">
        <v>4.5999999999999999E-2</v>
      </c>
      <c r="R62" s="4">
        <f t="shared" si="8"/>
        <v>0.21280000000000002</v>
      </c>
      <c r="S62" s="4">
        <f t="shared" si="9"/>
        <v>0.14949100307376359</v>
      </c>
      <c r="V62" s="1">
        <v>2.47E-2</v>
      </c>
      <c r="W62" s="1">
        <v>1.1900000000000001E-2</v>
      </c>
      <c r="X62" s="1">
        <v>0.21079999999999999</v>
      </c>
      <c r="Y62" s="1">
        <v>0.21779999999999999</v>
      </c>
      <c r="Z62" s="5">
        <f t="shared" si="10"/>
        <v>7.0000000000000062E-3</v>
      </c>
      <c r="AA62" s="6">
        <f t="shared" si="11"/>
        <v>27.683615819209017</v>
      </c>
    </row>
    <row r="63" spans="1:27" x14ac:dyDescent="0.2">
      <c r="A63" s="1" t="s">
        <v>46</v>
      </c>
      <c r="B63" s="1">
        <v>45</v>
      </c>
      <c r="C63" s="1">
        <v>1</v>
      </c>
      <c r="D63" s="1" t="s">
        <v>64</v>
      </c>
      <c r="E63" s="1" t="s">
        <v>58</v>
      </c>
      <c r="F63" s="2">
        <v>0.44258101851851855</v>
      </c>
      <c r="G63" s="1">
        <v>0.223</v>
      </c>
      <c r="H63" s="1">
        <v>4.2000000000000003E-2</v>
      </c>
      <c r="I63" s="1">
        <v>0.22600000000000001</v>
      </c>
      <c r="J63" s="1">
        <v>0.113</v>
      </c>
      <c r="K63" s="1">
        <v>0.105</v>
      </c>
      <c r="L63" s="1">
        <v>0.26200000000000001</v>
      </c>
      <c r="M63" s="1">
        <v>0.14000000000000001</v>
      </c>
      <c r="N63" s="1">
        <v>5.2999999999999999E-2</v>
      </c>
      <c r="O63" s="1">
        <v>6.3E-2</v>
      </c>
      <c r="P63" s="1">
        <v>3.5000000000000003E-2</v>
      </c>
      <c r="R63" s="4">
        <f t="shared" ref="R63:R67" si="16">AVERAGE(G63:P63)</f>
        <v>0.12619999999999998</v>
      </c>
      <c r="S63" s="4">
        <f t="shared" ref="S63:S67" si="17">_xlfn.STDEV.P(G63:P63)</f>
        <v>7.9589949114194106E-2</v>
      </c>
      <c r="T63" s="4">
        <f>AVERAGE(G63:P67)</f>
        <v>0.16312000000000001</v>
      </c>
      <c r="U63" s="4">
        <f>_xlfn.STDEV.P(G63:P67)</f>
        <v>0.15266245641938292</v>
      </c>
      <c r="V63" s="1">
        <v>3.1E-2</v>
      </c>
      <c r="W63" s="1">
        <v>1.32E-2</v>
      </c>
      <c r="X63" s="1">
        <v>0.23910000000000001</v>
      </c>
      <c r="Y63" s="1">
        <v>0.24790000000000001</v>
      </c>
      <c r="Z63" s="5">
        <f t="shared" ref="Z63:Z67" si="18">Y63-X63</f>
        <v>8.8000000000000023E-3</v>
      </c>
      <c r="AA63" s="6">
        <f t="shared" ref="AA63:AA67" si="19">(W63-Z63)/(V63-Z63)*100</f>
        <v>19.819819819819813</v>
      </c>
    </row>
    <row r="64" spans="1:27" x14ac:dyDescent="0.2">
      <c r="A64" s="1" t="s">
        <v>46</v>
      </c>
      <c r="B64" s="1">
        <v>45</v>
      </c>
      <c r="C64" s="1">
        <v>2</v>
      </c>
      <c r="D64" s="1" t="s">
        <v>65</v>
      </c>
      <c r="E64" s="1" t="s">
        <v>58</v>
      </c>
      <c r="F64" s="2">
        <v>0.44370370370370371</v>
      </c>
      <c r="G64" s="1">
        <v>2.3E-2</v>
      </c>
      <c r="H64" s="1">
        <v>9.6000000000000002E-2</v>
      </c>
      <c r="I64" s="1">
        <v>3.6999999999999998E-2</v>
      </c>
      <c r="J64" s="1">
        <v>3.5999999999999997E-2</v>
      </c>
      <c r="K64" s="1">
        <v>2.3E-2</v>
      </c>
      <c r="L64" s="1">
        <v>0.153</v>
      </c>
      <c r="M64" s="1">
        <v>0.13500000000000001</v>
      </c>
      <c r="N64" s="1">
        <v>0.13</v>
      </c>
      <c r="O64" s="1">
        <v>0.126</v>
      </c>
      <c r="P64" s="1">
        <v>8.7999999999999995E-2</v>
      </c>
      <c r="R64" s="4">
        <f t="shared" si="16"/>
        <v>8.4699999999999998E-2</v>
      </c>
      <c r="S64" s="4">
        <f t="shared" si="17"/>
        <v>4.8324010595148244E-2</v>
      </c>
      <c r="V64" s="1">
        <v>3.0099999999999998E-2</v>
      </c>
      <c r="W64" s="1">
        <v>0.01</v>
      </c>
      <c r="X64" s="1">
        <v>0.2379</v>
      </c>
      <c r="Y64" s="1">
        <v>0.2447</v>
      </c>
      <c r="Z64" s="5">
        <f t="shared" si="18"/>
        <v>6.8000000000000005E-3</v>
      </c>
      <c r="AA64" s="6">
        <f t="shared" si="19"/>
        <v>13.733905579399142</v>
      </c>
    </row>
    <row r="65" spans="1:27" x14ac:dyDescent="0.2">
      <c r="A65" s="1" t="s">
        <v>46</v>
      </c>
      <c r="B65" s="1">
        <v>45</v>
      </c>
      <c r="C65" s="1">
        <v>3</v>
      </c>
      <c r="D65" s="1" t="s">
        <v>66</v>
      </c>
      <c r="E65" s="1" t="s">
        <v>58</v>
      </c>
      <c r="F65" s="2">
        <v>0.44491898148148151</v>
      </c>
      <c r="G65" s="1">
        <v>9.8000000000000004E-2</v>
      </c>
      <c r="H65" s="1">
        <v>9.2999999999999999E-2</v>
      </c>
      <c r="I65" s="1">
        <v>0.246</v>
      </c>
      <c r="J65" s="1">
        <v>6.4000000000000001E-2</v>
      </c>
      <c r="K65" s="1">
        <v>4.1000000000000002E-2</v>
      </c>
      <c r="L65" s="1">
        <v>0.217</v>
      </c>
      <c r="M65" s="1">
        <v>0.13300000000000001</v>
      </c>
      <c r="N65" s="1">
        <v>8.1000000000000003E-2</v>
      </c>
      <c r="O65" s="1">
        <v>0.106</v>
      </c>
      <c r="P65" s="1">
        <v>9.9000000000000005E-2</v>
      </c>
      <c r="R65" s="4">
        <f t="shared" si="16"/>
        <v>0.11779999999999999</v>
      </c>
      <c r="S65" s="4">
        <f t="shared" si="17"/>
        <v>6.1768600437439113E-2</v>
      </c>
      <c r="V65" s="1">
        <v>2.3599999999999999E-2</v>
      </c>
      <c r="W65" s="1">
        <v>9.7000000000000003E-3</v>
      </c>
      <c r="X65" s="1">
        <v>0.23830000000000001</v>
      </c>
      <c r="Y65" s="1">
        <v>0.2457</v>
      </c>
      <c r="Z65" s="5">
        <f t="shared" si="18"/>
        <v>7.3999999999999899E-3</v>
      </c>
      <c r="AA65" s="6">
        <f t="shared" si="19"/>
        <v>14.197530864197585</v>
      </c>
    </row>
    <row r="66" spans="1:27" x14ac:dyDescent="0.2">
      <c r="A66" s="1" t="s">
        <v>46</v>
      </c>
      <c r="B66" s="1">
        <v>45</v>
      </c>
      <c r="C66" s="1">
        <v>4</v>
      </c>
      <c r="D66" s="1" t="s">
        <v>67</v>
      </c>
      <c r="E66" s="1" t="s">
        <v>58</v>
      </c>
      <c r="F66" s="2">
        <v>0.44605324074074071</v>
      </c>
      <c r="G66" s="1">
        <v>0.50900000000000001</v>
      </c>
      <c r="H66" s="1">
        <v>0.17299999999999999</v>
      </c>
      <c r="I66" s="1">
        <v>0.51200000000000001</v>
      </c>
      <c r="J66" s="1">
        <v>0.32400000000000001</v>
      </c>
      <c r="K66" s="1">
        <v>0.152</v>
      </c>
      <c r="L66" s="1">
        <v>0.55600000000000005</v>
      </c>
      <c r="M66" s="1">
        <v>0.56699999999999995</v>
      </c>
      <c r="N66" s="1">
        <v>0.50700000000000001</v>
      </c>
      <c r="O66" s="1">
        <v>0.54300000000000004</v>
      </c>
      <c r="P66" s="1">
        <v>0.28599999999999998</v>
      </c>
      <c r="R66" s="4">
        <f t="shared" si="16"/>
        <v>0.41290000000000004</v>
      </c>
      <c r="S66" s="4">
        <f t="shared" si="17"/>
        <v>0.15449559864280912</v>
      </c>
      <c r="V66" s="1">
        <v>4.7100000000000003E-2</v>
      </c>
      <c r="W66" s="1">
        <v>2.47E-2</v>
      </c>
      <c r="X66" s="1">
        <v>0.23280000000000001</v>
      </c>
      <c r="Y66" s="1">
        <v>0.24660000000000001</v>
      </c>
      <c r="Z66" s="5">
        <f t="shared" si="18"/>
        <v>1.3800000000000007E-2</v>
      </c>
      <c r="AA66" s="6">
        <f t="shared" si="19"/>
        <v>32.732732732732714</v>
      </c>
    </row>
    <row r="67" spans="1:27" x14ac:dyDescent="0.2">
      <c r="A67" s="1" t="s">
        <v>46</v>
      </c>
      <c r="B67" s="1">
        <v>45</v>
      </c>
      <c r="C67" s="1">
        <v>5</v>
      </c>
      <c r="D67" s="1" t="s">
        <v>68</v>
      </c>
      <c r="E67" s="1" t="s">
        <v>58</v>
      </c>
      <c r="F67" s="2">
        <v>0.44729166666666664</v>
      </c>
      <c r="G67" s="1">
        <v>8.7999999999999995E-2</v>
      </c>
      <c r="H67" s="1">
        <v>8.5999999999999993E-2</v>
      </c>
      <c r="I67" s="1">
        <v>7.2999999999999995E-2</v>
      </c>
      <c r="J67" s="1">
        <v>5.6000000000000001E-2</v>
      </c>
      <c r="K67" s="1">
        <v>7.6999999999999999E-2</v>
      </c>
      <c r="L67" s="1">
        <v>3.7999999999999999E-2</v>
      </c>
      <c r="M67" s="1">
        <v>6.7000000000000004E-2</v>
      </c>
      <c r="N67" s="1">
        <v>8.2000000000000003E-2</v>
      </c>
      <c r="O67" s="1">
        <v>7.2999999999999995E-2</v>
      </c>
      <c r="P67" s="1">
        <v>0.1</v>
      </c>
      <c r="R67" s="4">
        <f t="shared" si="16"/>
        <v>7.3999999999999982E-2</v>
      </c>
      <c r="S67" s="4">
        <f t="shared" si="17"/>
        <v>1.6613247725836205E-2</v>
      </c>
      <c r="V67" s="1">
        <v>1.7399999999999999E-2</v>
      </c>
      <c r="W67" s="1">
        <v>6.1999999999999998E-3</v>
      </c>
      <c r="X67" s="1">
        <v>0.22009999999999999</v>
      </c>
      <c r="Y67" s="1">
        <v>0.22489999999999999</v>
      </c>
      <c r="Z67" s="5">
        <f t="shared" si="18"/>
        <v>4.7999999999999987E-3</v>
      </c>
      <c r="AA67" s="6">
        <f t="shared" si="19"/>
        <v>11.11111111111112</v>
      </c>
    </row>
    <row r="68" spans="1:27" x14ac:dyDescent="0.2">
      <c r="A68" s="1" t="s">
        <v>46</v>
      </c>
      <c r="B68" s="1">
        <v>60</v>
      </c>
      <c r="C68" s="1">
        <v>1</v>
      </c>
      <c r="D68" s="1" t="s">
        <v>31</v>
      </c>
      <c r="E68" s="1" t="s">
        <v>58</v>
      </c>
      <c r="F68" s="2">
        <v>0.45878472222222227</v>
      </c>
      <c r="G68" s="1">
        <v>6.9000000000000006E-2</v>
      </c>
      <c r="H68" s="1">
        <v>4.1000000000000002E-2</v>
      </c>
      <c r="I68" s="1">
        <v>9.4E-2</v>
      </c>
      <c r="J68" s="1">
        <v>1.7000000000000001E-2</v>
      </c>
      <c r="K68" s="1">
        <v>2.8000000000000001E-2</v>
      </c>
      <c r="L68" s="1">
        <v>8.2000000000000003E-2</v>
      </c>
      <c r="M68" s="1">
        <v>4.2999999999999997E-2</v>
      </c>
      <c r="N68" s="1">
        <v>0.03</v>
      </c>
      <c r="O68" s="1">
        <v>7.0999999999999994E-2</v>
      </c>
      <c r="P68" s="1">
        <v>8.6999999999999994E-2</v>
      </c>
      <c r="R68" s="4">
        <f t="shared" si="8"/>
        <v>5.6200000000000007E-2</v>
      </c>
      <c r="S68" s="4">
        <f t="shared" si="9"/>
        <v>2.6171740484728933E-2</v>
      </c>
      <c r="T68" s="4">
        <f>AVERAGE(G68:P72)</f>
        <v>3.9199999999999999E-2</v>
      </c>
      <c r="U68" s="4">
        <f>_xlfn.STDEV.P(G68:P72)</f>
        <v>2.4670630312174837E-2</v>
      </c>
      <c r="V68" s="1">
        <v>3.3000000000000002E-2</v>
      </c>
      <c r="W68" s="1">
        <v>1.0500000000000001E-2</v>
      </c>
      <c r="X68" s="1">
        <v>0.2019</v>
      </c>
      <c r="Y68" s="1">
        <v>0.2097</v>
      </c>
      <c r="Z68" s="5">
        <f t="shared" si="10"/>
        <v>7.8000000000000014E-3</v>
      </c>
      <c r="AA68" s="6">
        <f t="shared" si="11"/>
        <v>10.714285714285712</v>
      </c>
    </row>
    <row r="69" spans="1:27" x14ac:dyDescent="0.2">
      <c r="A69" s="1" t="s">
        <v>46</v>
      </c>
      <c r="B69" s="1">
        <v>60</v>
      </c>
      <c r="C69" s="1">
        <v>2</v>
      </c>
      <c r="D69" s="1" t="s">
        <v>32</v>
      </c>
      <c r="E69" s="1" t="s">
        <v>58</v>
      </c>
      <c r="F69" s="2">
        <v>0.46016203703703701</v>
      </c>
      <c r="G69" s="1">
        <v>5.0999999999999997E-2</v>
      </c>
      <c r="H69" s="1">
        <v>5.8999999999999997E-2</v>
      </c>
      <c r="I69" s="1">
        <v>5.6000000000000001E-2</v>
      </c>
      <c r="J69" s="1">
        <v>9.2999999999999999E-2</v>
      </c>
      <c r="K69" s="1">
        <v>0</v>
      </c>
      <c r="L69" s="1">
        <v>5.0999999999999997E-2</v>
      </c>
      <c r="M69" s="1">
        <v>5.8999999999999997E-2</v>
      </c>
      <c r="N69" s="1">
        <v>4.2999999999999997E-2</v>
      </c>
      <c r="O69" s="1">
        <v>5.2999999999999999E-2</v>
      </c>
      <c r="P69" s="1">
        <v>5.5E-2</v>
      </c>
      <c r="R69" s="4">
        <f t="shared" si="8"/>
        <v>5.2000000000000005E-2</v>
      </c>
      <c r="S69" s="4">
        <f t="shared" si="9"/>
        <v>2.1428952377566177E-2</v>
      </c>
      <c r="V69" s="1">
        <v>3.2500000000000001E-2</v>
      </c>
      <c r="W69" s="1">
        <v>9.9000000000000008E-3</v>
      </c>
      <c r="X69" s="1">
        <v>0.21149999999999999</v>
      </c>
      <c r="Y69" s="1">
        <v>0.2185</v>
      </c>
      <c r="Z69" s="5">
        <f t="shared" si="10"/>
        <v>7.0000000000000062E-3</v>
      </c>
      <c r="AA69" s="6">
        <f t="shared" si="11"/>
        <v>11.372549019607824</v>
      </c>
    </row>
    <row r="70" spans="1:27" x14ac:dyDescent="0.2">
      <c r="A70" s="1" t="s">
        <v>46</v>
      </c>
      <c r="B70" s="1">
        <v>60</v>
      </c>
      <c r="C70" s="1">
        <v>3</v>
      </c>
      <c r="D70" s="1" t="s">
        <v>33</v>
      </c>
      <c r="E70" s="1" t="s">
        <v>58</v>
      </c>
      <c r="F70" s="2">
        <v>0.46137731481481481</v>
      </c>
      <c r="G70" s="1">
        <v>0</v>
      </c>
      <c r="H70" s="1">
        <v>4.3999999999999997E-2</v>
      </c>
      <c r="I70" s="1">
        <v>0</v>
      </c>
      <c r="J70" s="1">
        <v>2.5000000000000001E-2</v>
      </c>
      <c r="K70" s="1">
        <v>2.4E-2</v>
      </c>
      <c r="L70" s="1">
        <v>0</v>
      </c>
      <c r="M70" s="1">
        <v>5.1999999999999998E-2</v>
      </c>
      <c r="N70" s="1">
        <v>2.9000000000000001E-2</v>
      </c>
      <c r="O70" s="1">
        <v>3.2000000000000001E-2</v>
      </c>
      <c r="P70" s="1">
        <v>4.1000000000000002E-2</v>
      </c>
      <c r="R70" s="4">
        <f t="shared" si="8"/>
        <v>2.47E-2</v>
      </c>
      <c r="S70" s="4">
        <f t="shared" si="9"/>
        <v>1.8127603261324978E-2</v>
      </c>
      <c r="V70" s="1">
        <v>2.1000000000000001E-2</v>
      </c>
      <c r="W70" s="1">
        <v>6.7000000000000002E-3</v>
      </c>
      <c r="X70" s="1">
        <v>0.2465</v>
      </c>
      <c r="Y70" s="1">
        <v>0.25209999999999999</v>
      </c>
      <c r="Z70" s="5">
        <f t="shared" si="10"/>
        <v>5.5999999999999939E-3</v>
      </c>
      <c r="AA70" s="6">
        <f t="shared" si="11"/>
        <v>7.1428571428571814</v>
      </c>
    </row>
    <row r="71" spans="1:27" x14ac:dyDescent="0.2">
      <c r="A71" s="1" t="s">
        <v>46</v>
      </c>
      <c r="B71" s="1">
        <v>60</v>
      </c>
      <c r="C71" s="1">
        <v>4</v>
      </c>
      <c r="D71" s="1" t="s">
        <v>34</v>
      </c>
      <c r="E71" s="1" t="s">
        <v>58</v>
      </c>
      <c r="F71" s="2">
        <v>0.46243055555555551</v>
      </c>
      <c r="G71" s="1">
        <v>0</v>
      </c>
      <c r="H71" s="1">
        <v>0</v>
      </c>
      <c r="I71" s="1">
        <v>3.4000000000000002E-2</v>
      </c>
      <c r="J71" s="1">
        <v>0</v>
      </c>
      <c r="K71" s="1">
        <v>0</v>
      </c>
      <c r="L71" s="1">
        <v>3.6999999999999998E-2</v>
      </c>
      <c r="M71" s="1">
        <v>0.03</v>
      </c>
      <c r="N71" s="1">
        <v>2.4E-2</v>
      </c>
      <c r="O71" s="1">
        <v>4.1000000000000002E-2</v>
      </c>
      <c r="P71" s="1">
        <v>5.7000000000000002E-2</v>
      </c>
      <c r="R71" s="4">
        <f t="shared" si="8"/>
        <v>2.23E-2</v>
      </c>
      <c r="S71" s="4">
        <f t="shared" si="9"/>
        <v>1.9894974239742059E-2</v>
      </c>
      <c r="V71" s="1">
        <v>2.6800000000000001E-2</v>
      </c>
      <c r="W71" s="1">
        <v>7.0000000000000001E-3</v>
      </c>
      <c r="X71" s="1">
        <v>0.2329</v>
      </c>
      <c r="Y71" s="1">
        <v>0.2384</v>
      </c>
      <c r="Z71" s="5">
        <f t="shared" si="10"/>
        <v>5.5000000000000049E-3</v>
      </c>
      <c r="AA71" s="6">
        <f t="shared" si="11"/>
        <v>7.0422535211267405</v>
      </c>
    </row>
    <row r="72" spans="1:27" x14ac:dyDescent="0.2">
      <c r="A72" s="1" t="s">
        <v>46</v>
      </c>
      <c r="B72" s="1">
        <v>60</v>
      </c>
      <c r="C72" s="1">
        <v>5</v>
      </c>
      <c r="D72" s="1" t="s">
        <v>35</v>
      </c>
      <c r="E72" s="1" t="s">
        <v>58</v>
      </c>
      <c r="F72" s="2">
        <v>0.46350694444444446</v>
      </c>
      <c r="G72" s="1">
        <v>6.4000000000000001E-2</v>
      </c>
      <c r="H72" s="1">
        <v>4.2999999999999997E-2</v>
      </c>
      <c r="I72" s="1">
        <v>0.05</v>
      </c>
      <c r="J72" s="1">
        <v>6.5000000000000002E-2</v>
      </c>
      <c r="K72" s="1">
        <v>3.5000000000000003E-2</v>
      </c>
      <c r="L72" s="1">
        <v>4.5999999999999999E-2</v>
      </c>
      <c r="M72" s="1">
        <v>3.1E-2</v>
      </c>
      <c r="N72" s="1">
        <v>3.2000000000000001E-2</v>
      </c>
      <c r="O72" s="1">
        <v>2.1999999999999999E-2</v>
      </c>
      <c r="P72" s="1">
        <v>0.02</v>
      </c>
      <c r="R72" s="4">
        <f t="shared" si="8"/>
        <v>4.0800000000000003E-2</v>
      </c>
      <c r="S72" s="4">
        <f t="shared" si="9"/>
        <v>1.4945233353815522E-2</v>
      </c>
      <c r="V72" s="1">
        <v>2.92E-2</v>
      </c>
      <c r="W72" s="1">
        <v>8.6999999999999994E-3</v>
      </c>
      <c r="X72" s="1">
        <v>0.2046</v>
      </c>
      <c r="Y72" s="1">
        <v>0.21129999999999999</v>
      </c>
      <c r="Z72" s="5">
        <f t="shared" si="10"/>
        <v>6.6999999999999837E-3</v>
      </c>
      <c r="AA72" s="6">
        <f t="shared" si="11"/>
        <v>8.8888888888889515</v>
      </c>
    </row>
    <row r="73" spans="1:27" x14ac:dyDescent="0.2">
      <c r="A73" s="1" t="s">
        <v>46</v>
      </c>
      <c r="B73" s="1">
        <v>120</v>
      </c>
      <c r="C73" s="1">
        <v>1</v>
      </c>
      <c r="D73" s="1" t="s">
        <v>36</v>
      </c>
      <c r="E73" s="1" t="s">
        <v>58</v>
      </c>
      <c r="F73" s="2">
        <v>0.6156018518518519</v>
      </c>
      <c r="G73" s="1">
        <v>4.7E-2</v>
      </c>
      <c r="H73" s="1">
        <v>5.5E-2</v>
      </c>
      <c r="I73" s="1">
        <v>5.1999999999999998E-2</v>
      </c>
      <c r="J73" s="1">
        <v>6.4000000000000001E-2</v>
      </c>
      <c r="K73" s="1">
        <v>0.06</v>
      </c>
      <c r="L73" s="1">
        <v>4.3999999999999997E-2</v>
      </c>
      <c r="M73" s="1">
        <v>5.0999999999999997E-2</v>
      </c>
      <c r="N73" s="1">
        <v>4.3999999999999997E-2</v>
      </c>
      <c r="O73" s="1">
        <v>6.3E-2</v>
      </c>
      <c r="P73" s="1">
        <v>4.2999999999999997E-2</v>
      </c>
      <c r="R73" s="4">
        <f t="shared" si="8"/>
        <v>5.2299999999999999E-2</v>
      </c>
      <c r="S73" s="4">
        <f t="shared" si="9"/>
        <v>7.5637292389402573E-3</v>
      </c>
      <c r="T73" s="4">
        <f>AVERAGE(G73:P77)</f>
        <v>3.4799999999999998E-2</v>
      </c>
      <c r="U73" s="4">
        <f>_xlfn.STDEV.P(G73:P77)</f>
        <v>1.9026297590440455E-2</v>
      </c>
      <c r="V73" s="1">
        <v>7.5899999999999995E-2</v>
      </c>
      <c r="W73" s="1">
        <v>2.5499999999999998E-2</v>
      </c>
      <c r="X73" s="1">
        <v>0.25230000000000002</v>
      </c>
      <c r="Y73" s="1">
        <v>0.2717</v>
      </c>
      <c r="Z73" s="5">
        <f t="shared" si="10"/>
        <v>1.9399999999999973E-2</v>
      </c>
      <c r="AA73" s="6">
        <f t="shared" si="11"/>
        <v>10.796460176991191</v>
      </c>
    </row>
    <row r="74" spans="1:27" x14ac:dyDescent="0.2">
      <c r="A74" s="1" t="s">
        <v>46</v>
      </c>
      <c r="B74" s="1">
        <v>120</v>
      </c>
      <c r="C74" s="1">
        <v>2</v>
      </c>
      <c r="D74" s="1" t="s">
        <v>37</v>
      </c>
      <c r="E74" s="1" t="s">
        <v>58</v>
      </c>
      <c r="F74" s="2">
        <v>0.61656250000000001</v>
      </c>
      <c r="G74" s="1">
        <v>4.2000000000000003E-2</v>
      </c>
      <c r="H74" s="1">
        <v>3.5999999999999997E-2</v>
      </c>
      <c r="I74" s="1">
        <v>3.4000000000000002E-2</v>
      </c>
      <c r="J74" s="1">
        <v>3.6999999999999998E-2</v>
      </c>
      <c r="K74" s="1">
        <v>0</v>
      </c>
      <c r="L74" s="1">
        <v>3.3000000000000002E-2</v>
      </c>
      <c r="M74" s="1">
        <v>3.7999999999999999E-2</v>
      </c>
      <c r="N74" s="1">
        <v>0</v>
      </c>
      <c r="O74" s="1">
        <v>3.4000000000000002E-2</v>
      </c>
      <c r="P74" s="1">
        <v>0.03</v>
      </c>
      <c r="R74" s="4">
        <f t="shared" si="8"/>
        <v>2.8400000000000002E-2</v>
      </c>
      <c r="S74" s="4">
        <f t="shared" si="9"/>
        <v>1.4520330574749321E-2</v>
      </c>
      <c r="V74" s="1">
        <v>5.9299999999999999E-2</v>
      </c>
      <c r="W74" s="1">
        <v>1.7600000000000001E-2</v>
      </c>
      <c r="X74" s="1">
        <v>0.251</v>
      </c>
      <c r="Y74" s="1">
        <v>0.2545</v>
      </c>
      <c r="Z74" s="5">
        <f t="shared" si="10"/>
        <v>3.5000000000000031E-3</v>
      </c>
      <c r="AA74" s="6">
        <f t="shared" si="11"/>
        <v>25.268817204301076</v>
      </c>
    </row>
    <row r="75" spans="1:27" x14ac:dyDescent="0.2">
      <c r="A75" s="1" t="s">
        <v>46</v>
      </c>
      <c r="B75" s="1">
        <v>120</v>
      </c>
      <c r="C75" s="1">
        <v>3</v>
      </c>
      <c r="D75" s="1" t="s">
        <v>38</v>
      </c>
      <c r="E75" s="1" t="s">
        <v>58</v>
      </c>
      <c r="F75" s="2">
        <v>0.6174074074074074</v>
      </c>
      <c r="G75" s="1">
        <v>5.6000000000000001E-2</v>
      </c>
      <c r="H75" s="1">
        <v>4.7E-2</v>
      </c>
      <c r="I75" s="1">
        <v>5.1999999999999998E-2</v>
      </c>
      <c r="J75" s="1">
        <v>6.5000000000000002E-2</v>
      </c>
      <c r="K75" s="1">
        <v>5.1999999999999998E-2</v>
      </c>
      <c r="L75" s="1">
        <v>4.3999999999999997E-2</v>
      </c>
      <c r="M75" s="1">
        <v>0.04</v>
      </c>
      <c r="N75" s="1">
        <v>5.3999999999999999E-2</v>
      </c>
      <c r="O75" s="1">
        <v>5.5E-2</v>
      </c>
      <c r="P75" s="1">
        <v>5.0999999999999997E-2</v>
      </c>
      <c r="R75" s="4">
        <f t="shared" si="8"/>
        <v>5.16E-2</v>
      </c>
      <c r="S75" s="4">
        <f t="shared" si="9"/>
        <v>6.5604877867426904E-3</v>
      </c>
      <c r="V75" s="1">
        <v>4.6100000000000002E-2</v>
      </c>
      <c r="W75" s="1">
        <v>1.55E-2</v>
      </c>
      <c r="X75" s="1">
        <v>0.25109999999999999</v>
      </c>
      <c r="Y75" s="1">
        <v>0.2636</v>
      </c>
      <c r="Z75" s="5">
        <f t="shared" si="10"/>
        <v>1.2500000000000011E-2</v>
      </c>
      <c r="AA75" s="6">
        <f t="shared" si="11"/>
        <v>8.9285714285713986</v>
      </c>
    </row>
    <row r="76" spans="1:27" x14ac:dyDescent="0.2">
      <c r="A76" s="1" t="s">
        <v>46</v>
      </c>
      <c r="B76" s="1">
        <v>120</v>
      </c>
      <c r="C76" s="1">
        <v>4</v>
      </c>
      <c r="D76" s="1" t="s">
        <v>39</v>
      </c>
      <c r="E76" s="1" t="s">
        <v>58</v>
      </c>
      <c r="F76" s="2">
        <v>0.61833333333333329</v>
      </c>
      <c r="G76" s="1">
        <v>3.5000000000000003E-2</v>
      </c>
      <c r="H76" s="1">
        <v>3.6999999999999998E-2</v>
      </c>
      <c r="I76" s="1">
        <v>3.2000000000000001E-2</v>
      </c>
      <c r="J76" s="1">
        <v>3.2000000000000001E-2</v>
      </c>
      <c r="K76" s="1">
        <v>3.5000000000000003E-2</v>
      </c>
      <c r="L76" s="1">
        <v>3.6999999999999998E-2</v>
      </c>
      <c r="M76" s="1">
        <v>3.1E-2</v>
      </c>
      <c r="N76" s="1">
        <v>3.1E-2</v>
      </c>
      <c r="O76" s="1">
        <v>3.1E-2</v>
      </c>
      <c r="P76" s="1">
        <v>2.9000000000000001E-2</v>
      </c>
      <c r="R76" s="4">
        <f t="shared" si="8"/>
        <v>3.3000000000000008E-2</v>
      </c>
      <c r="S76" s="4">
        <f t="shared" si="9"/>
        <v>2.6457513110645903E-3</v>
      </c>
      <c r="V76" s="1">
        <v>1.9400000000000001E-2</v>
      </c>
      <c r="W76" s="1">
        <v>6.6E-3</v>
      </c>
      <c r="X76" s="1">
        <v>0.223</v>
      </c>
      <c r="Y76" s="1">
        <v>0.22789999999999999</v>
      </c>
      <c r="Z76" s="5">
        <f t="shared" si="10"/>
        <v>4.8999999999999877E-3</v>
      </c>
      <c r="AA76" s="6">
        <f t="shared" si="11"/>
        <v>11.724137931034557</v>
      </c>
    </row>
    <row r="77" spans="1:27" x14ac:dyDescent="0.2">
      <c r="A77" s="1" t="s">
        <v>46</v>
      </c>
      <c r="B77" s="1">
        <v>120</v>
      </c>
      <c r="C77" s="1">
        <v>5</v>
      </c>
      <c r="D77" s="1" t="s">
        <v>40</v>
      </c>
      <c r="E77" s="1" t="s">
        <v>58</v>
      </c>
      <c r="F77" s="2">
        <v>0.61951388888888892</v>
      </c>
      <c r="G77" s="1">
        <v>0</v>
      </c>
      <c r="H77" s="1">
        <v>0</v>
      </c>
      <c r="I77" s="1">
        <v>0</v>
      </c>
      <c r="J77" s="1">
        <v>0.03</v>
      </c>
      <c r="K77" s="1">
        <v>3.1E-2</v>
      </c>
      <c r="L77" s="1">
        <v>2.5999999999999999E-2</v>
      </c>
      <c r="M77" s="1">
        <v>0</v>
      </c>
      <c r="N77" s="1">
        <v>0</v>
      </c>
      <c r="O77" s="1">
        <v>0</v>
      </c>
      <c r="P77" s="1">
        <v>0</v>
      </c>
      <c r="R77" s="4">
        <f t="shared" si="8"/>
        <v>8.6999999999999994E-3</v>
      </c>
      <c r="S77" s="4">
        <f t="shared" si="9"/>
        <v>1.3342038824707414E-2</v>
      </c>
      <c r="V77" s="1">
        <v>3.85E-2</v>
      </c>
      <c r="W77" s="1">
        <v>0.01</v>
      </c>
      <c r="X77" s="1">
        <v>0.1946</v>
      </c>
      <c r="Y77" s="1">
        <v>0.20200000000000001</v>
      </c>
      <c r="Z77" s="5">
        <f t="shared" si="10"/>
        <v>7.4000000000000177E-3</v>
      </c>
      <c r="AA77" s="6">
        <f t="shared" si="11"/>
        <v>8.3601286173632925</v>
      </c>
    </row>
    <row r="78" spans="1:27" x14ac:dyDescent="0.2">
      <c r="A78" s="1" t="s">
        <v>46</v>
      </c>
      <c r="B78" s="1">
        <v>180</v>
      </c>
      <c r="C78" s="1">
        <v>1</v>
      </c>
      <c r="D78" s="1" t="s">
        <v>41</v>
      </c>
      <c r="E78" s="1" t="s">
        <v>58</v>
      </c>
      <c r="F78" s="2">
        <v>0.6660300925925926</v>
      </c>
      <c r="G78" s="1">
        <v>0</v>
      </c>
      <c r="H78" s="1">
        <v>2.3E-2</v>
      </c>
      <c r="I78" s="1">
        <v>2.1000000000000001E-2</v>
      </c>
      <c r="J78" s="1">
        <v>2.5999999999999999E-2</v>
      </c>
      <c r="K78" s="1">
        <v>2.5000000000000001E-2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R78" s="4">
        <f t="shared" si="8"/>
        <v>9.4999999999999998E-3</v>
      </c>
      <c r="S78" s="4">
        <f t="shared" si="9"/>
        <v>1.1698290473398241E-2</v>
      </c>
      <c r="T78" s="4">
        <f>AVERAGE(G78:P82)</f>
        <v>7.6600000000000001E-3</v>
      </c>
      <c r="U78" s="4">
        <f>_xlfn.STDEV.P(G78:P82)</f>
        <v>1.4251470099607267E-2</v>
      </c>
      <c r="V78" s="1">
        <v>2.3599999999999999E-2</v>
      </c>
      <c r="W78" s="1">
        <v>7.7999999999999996E-3</v>
      </c>
      <c r="X78" s="1">
        <v>0.1898</v>
      </c>
      <c r="Y78" s="1">
        <v>0.1958</v>
      </c>
      <c r="Z78" s="5">
        <f t="shared" si="10"/>
        <v>6.0000000000000053E-3</v>
      </c>
      <c r="AA78" s="6">
        <f t="shared" si="11"/>
        <v>10.227272727272698</v>
      </c>
    </row>
    <row r="79" spans="1:27" x14ac:dyDescent="0.2">
      <c r="A79" s="1" t="s">
        <v>46</v>
      </c>
      <c r="B79" s="1">
        <v>180</v>
      </c>
      <c r="C79" s="1">
        <v>2</v>
      </c>
      <c r="D79" s="1" t="s">
        <v>42</v>
      </c>
      <c r="E79" s="1" t="s">
        <v>58</v>
      </c>
      <c r="F79" s="2">
        <v>0.66689814814814818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R79" s="4">
        <f t="shared" si="8"/>
        <v>0</v>
      </c>
      <c r="S79" s="4">
        <f t="shared" si="9"/>
        <v>0</v>
      </c>
      <c r="V79" s="1">
        <v>4.3200000000000002E-2</v>
      </c>
      <c r="W79" s="1">
        <v>1.12E-2</v>
      </c>
      <c r="X79" s="1">
        <v>0.2072</v>
      </c>
      <c r="Y79" s="1">
        <v>0.2155</v>
      </c>
      <c r="Z79" s="5">
        <f t="shared" si="10"/>
        <v>8.3000000000000018E-3</v>
      </c>
      <c r="AA79" s="6">
        <f t="shared" si="11"/>
        <v>8.3094555873925451</v>
      </c>
    </row>
    <row r="80" spans="1:27" x14ac:dyDescent="0.2">
      <c r="A80" s="1" t="s">
        <v>46</v>
      </c>
      <c r="B80" s="1">
        <v>180</v>
      </c>
      <c r="C80" s="1">
        <v>3</v>
      </c>
      <c r="D80" s="1" t="s">
        <v>43</v>
      </c>
      <c r="E80" s="1" t="s">
        <v>58</v>
      </c>
      <c r="F80" s="2">
        <v>0.66791666666666671</v>
      </c>
      <c r="G80" s="1">
        <v>0</v>
      </c>
      <c r="H80" s="1">
        <v>0</v>
      </c>
      <c r="I80" s="1">
        <v>0</v>
      </c>
      <c r="J80" s="1">
        <v>0</v>
      </c>
      <c r="K80" s="1">
        <v>3.6999999999999998E-2</v>
      </c>
      <c r="L80" s="1">
        <v>0</v>
      </c>
      <c r="M80" s="1">
        <v>4.5999999999999999E-2</v>
      </c>
      <c r="N80" s="1">
        <v>3.2000000000000001E-2</v>
      </c>
      <c r="O80" s="1">
        <v>3.7999999999999999E-2</v>
      </c>
      <c r="P80" s="1">
        <v>4.8000000000000001E-2</v>
      </c>
      <c r="R80" s="4">
        <f t="shared" si="8"/>
        <v>2.01E-2</v>
      </c>
      <c r="S80" s="4">
        <f t="shared" si="9"/>
        <v>2.0535091916034851E-2</v>
      </c>
      <c r="V80" s="1">
        <v>3.6999999999999998E-2</v>
      </c>
      <c r="W80" s="1">
        <v>1.2E-2</v>
      </c>
      <c r="X80" s="1">
        <v>0.2223</v>
      </c>
      <c r="Y80" s="1">
        <v>0.23169999999999999</v>
      </c>
      <c r="Z80" s="5">
        <f t="shared" si="10"/>
        <v>9.3999999999999917E-3</v>
      </c>
      <c r="AA80" s="6">
        <f t="shared" si="11"/>
        <v>9.4202898550724932</v>
      </c>
    </row>
    <row r="81" spans="1:27" x14ac:dyDescent="0.2">
      <c r="A81" s="1" t="s">
        <v>46</v>
      </c>
      <c r="B81" s="1">
        <v>180</v>
      </c>
      <c r="C81" s="1">
        <v>4</v>
      </c>
      <c r="D81" s="1" t="s">
        <v>44</v>
      </c>
      <c r="E81" s="1" t="s">
        <v>58</v>
      </c>
      <c r="F81" s="2">
        <v>0.66878472222222218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R81" s="4">
        <f t="shared" si="8"/>
        <v>0</v>
      </c>
      <c r="S81" s="4">
        <f t="shared" si="9"/>
        <v>0</v>
      </c>
      <c r="V81" s="1">
        <v>2.6800000000000001E-2</v>
      </c>
      <c r="W81" s="1">
        <v>7.3000000000000001E-3</v>
      </c>
      <c r="X81" s="1">
        <v>0.19170000000000001</v>
      </c>
      <c r="Y81" s="1">
        <v>0.19750000000000001</v>
      </c>
      <c r="Z81" s="5">
        <f t="shared" si="10"/>
        <v>5.7999999999999996E-3</v>
      </c>
      <c r="AA81" s="6">
        <f t="shared" si="11"/>
        <v>7.142857142857145</v>
      </c>
    </row>
    <row r="82" spans="1:27" x14ac:dyDescent="0.2">
      <c r="A82" s="1" t="s">
        <v>46</v>
      </c>
      <c r="B82" s="1">
        <v>180</v>
      </c>
      <c r="C82" s="1">
        <v>5</v>
      </c>
      <c r="D82" s="1" t="s">
        <v>45</v>
      </c>
      <c r="E82" s="1" t="s">
        <v>58</v>
      </c>
      <c r="F82" s="2">
        <v>0.66969907407407403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3.2000000000000001E-2</v>
      </c>
      <c r="M82" s="1">
        <v>3.1E-2</v>
      </c>
      <c r="N82" s="1">
        <v>2.4E-2</v>
      </c>
      <c r="O82" s="1">
        <v>0</v>
      </c>
      <c r="P82" s="1">
        <v>0</v>
      </c>
      <c r="R82" s="4">
        <f t="shared" si="8"/>
        <v>8.6999999999999994E-3</v>
      </c>
      <c r="S82" s="4">
        <f t="shared" si="9"/>
        <v>1.3431678971744375E-2</v>
      </c>
      <c r="V82" s="1">
        <v>4.2700000000000002E-2</v>
      </c>
      <c r="W82" s="1">
        <v>1.3100000000000001E-2</v>
      </c>
      <c r="X82" s="1">
        <v>0.2082</v>
      </c>
      <c r="Y82" s="1">
        <v>0.2185</v>
      </c>
      <c r="Z82" s="5">
        <f t="shared" si="10"/>
        <v>1.0300000000000004E-2</v>
      </c>
      <c r="AA82" s="6">
        <f t="shared" si="11"/>
        <v>8.6419753086419657</v>
      </c>
    </row>
    <row r="84" spans="1:27" x14ac:dyDescent="0.2">
      <c r="A84" s="1" t="s">
        <v>47</v>
      </c>
      <c r="B84" s="1">
        <v>0</v>
      </c>
      <c r="C84" s="1">
        <v>1</v>
      </c>
      <c r="D84" s="1" t="s">
        <v>4</v>
      </c>
      <c r="E84" s="1" t="s">
        <v>58</v>
      </c>
      <c r="F84" s="2">
        <v>0.52098379629629632</v>
      </c>
      <c r="G84" s="1">
        <v>0.67100000000000004</v>
      </c>
      <c r="H84" s="1">
        <v>0.67200000000000004</v>
      </c>
      <c r="I84" s="1">
        <v>0.67200000000000004</v>
      </c>
      <c r="J84" s="1">
        <v>0.65900000000000003</v>
      </c>
      <c r="K84" s="1">
        <v>0.66500000000000004</v>
      </c>
      <c r="L84" s="1">
        <v>0.66900000000000004</v>
      </c>
      <c r="M84" s="1">
        <v>0.66300000000000003</v>
      </c>
      <c r="N84" s="1">
        <v>0.65600000000000003</v>
      </c>
      <c r="O84" s="1">
        <v>0.65800000000000003</v>
      </c>
      <c r="P84" s="1">
        <v>0.65900000000000003</v>
      </c>
      <c r="R84" s="4">
        <f>AVERAGE(G84:P84)</f>
        <v>0.6644000000000001</v>
      </c>
      <c r="S84" s="4">
        <f>_xlfn.STDEV.P(G84:P84)</f>
        <v>5.9363288318623371E-3</v>
      </c>
      <c r="T84" s="4">
        <f>AVERAGE(G84:P88)</f>
        <v>0.65359999999999996</v>
      </c>
      <c r="U84" s="4">
        <f>_xlfn.STDEV.P(G84:P88)</f>
        <v>2.1565713528654704E-2</v>
      </c>
      <c r="AA84" s="6">
        <f t="shared" ref="AA84:AA115" si="20">AA43</f>
        <v>100</v>
      </c>
    </row>
    <row r="85" spans="1:27" x14ac:dyDescent="0.2">
      <c r="A85" s="1" t="s">
        <v>47</v>
      </c>
      <c r="B85" s="1">
        <v>0</v>
      </c>
      <c r="C85" s="1">
        <v>2</v>
      </c>
      <c r="D85" s="1" t="s">
        <v>5</v>
      </c>
      <c r="E85" s="1" t="s">
        <v>58</v>
      </c>
      <c r="F85" s="2">
        <v>0.52192129629629636</v>
      </c>
      <c r="G85" s="1">
        <v>0.66600000000000004</v>
      </c>
      <c r="H85" s="1">
        <v>0.66900000000000004</v>
      </c>
      <c r="I85" s="1">
        <v>0.65200000000000002</v>
      </c>
      <c r="J85" s="1">
        <v>0.67200000000000004</v>
      </c>
      <c r="K85" s="1">
        <v>0.68899999999999995</v>
      </c>
      <c r="L85" s="1">
        <v>0.66200000000000003</v>
      </c>
      <c r="M85" s="1">
        <v>0.66200000000000003</v>
      </c>
      <c r="N85" s="1">
        <v>0.64200000000000002</v>
      </c>
      <c r="O85" s="1">
        <v>0.64700000000000002</v>
      </c>
      <c r="P85" s="1">
        <v>0.66800000000000004</v>
      </c>
      <c r="R85" s="4">
        <f t="shared" ref="R85:R123" si="21">AVERAGE(G85:P85)</f>
        <v>0.66290000000000016</v>
      </c>
      <c r="S85" s="4">
        <f t="shared" ref="S85:S123" si="22">_xlfn.STDEV.P(G85:P85)</f>
        <v>1.2833160171991922E-2</v>
      </c>
      <c r="T85" s="4"/>
      <c r="U85" s="4"/>
      <c r="AA85" s="6">
        <f t="shared" si="20"/>
        <v>100</v>
      </c>
    </row>
    <row r="86" spans="1:27" x14ac:dyDescent="0.2">
      <c r="A86" s="1" t="s">
        <v>47</v>
      </c>
      <c r="B86" s="1">
        <v>0</v>
      </c>
      <c r="C86" s="1">
        <v>3</v>
      </c>
      <c r="D86" s="1" t="s">
        <v>6</v>
      </c>
      <c r="E86" s="1" t="s">
        <v>58</v>
      </c>
      <c r="F86" s="2">
        <v>0.52289351851851851</v>
      </c>
      <c r="G86" s="1">
        <v>0.67900000000000005</v>
      </c>
      <c r="H86" s="1">
        <v>0.67200000000000004</v>
      </c>
      <c r="I86" s="1">
        <v>0.67700000000000005</v>
      </c>
      <c r="J86" s="1">
        <v>0.66700000000000004</v>
      </c>
      <c r="K86" s="1">
        <v>0.65100000000000002</v>
      </c>
      <c r="L86" s="1">
        <v>0.67900000000000005</v>
      </c>
      <c r="M86" s="1">
        <v>0.67600000000000005</v>
      </c>
      <c r="N86" s="1">
        <v>0.65500000000000003</v>
      </c>
      <c r="O86" s="1">
        <v>0.628</v>
      </c>
      <c r="P86" s="1">
        <v>0.64200000000000002</v>
      </c>
      <c r="R86" s="4">
        <f t="shared" si="21"/>
        <v>0.66260000000000008</v>
      </c>
      <c r="S86" s="4">
        <f t="shared" si="22"/>
        <v>1.6871277367170527E-2</v>
      </c>
      <c r="T86" s="4"/>
      <c r="U86" s="4"/>
      <c r="AA86" s="6">
        <f t="shared" si="20"/>
        <v>100</v>
      </c>
    </row>
    <row r="87" spans="1:27" x14ac:dyDescent="0.2">
      <c r="A87" s="1" t="s">
        <v>47</v>
      </c>
      <c r="B87" s="1">
        <v>0</v>
      </c>
      <c r="C87" s="1">
        <v>4</v>
      </c>
      <c r="D87" s="1" t="s">
        <v>7</v>
      </c>
      <c r="E87" s="1" t="s">
        <v>58</v>
      </c>
      <c r="F87" s="2">
        <v>0.5239583333333333</v>
      </c>
      <c r="G87" s="1">
        <v>0.624</v>
      </c>
      <c r="H87" s="1">
        <v>0.63400000000000001</v>
      </c>
      <c r="I87" s="1">
        <v>0.61599999999999999</v>
      </c>
      <c r="J87" s="1">
        <v>0.61599999999999999</v>
      </c>
      <c r="K87" s="1">
        <v>0.628</v>
      </c>
      <c r="L87" s="1">
        <v>0.60699999999999998</v>
      </c>
      <c r="M87" s="1">
        <v>0.61099999999999999</v>
      </c>
      <c r="N87" s="1">
        <v>0.60199999999999998</v>
      </c>
      <c r="O87" s="1">
        <v>0.60699999999999998</v>
      </c>
      <c r="P87" s="1">
        <v>0.629</v>
      </c>
      <c r="R87" s="4">
        <f t="shared" si="21"/>
        <v>0.61740000000000017</v>
      </c>
      <c r="S87" s="4">
        <f t="shared" si="22"/>
        <v>1.0316976301223153E-2</v>
      </c>
      <c r="T87" s="4"/>
      <c r="U87" s="4"/>
      <c r="AA87" s="6">
        <f t="shared" si="20"/>
        <v>100</v>
      </c>
    </row>
    <row r="88" spans="1:27" x14ac:dyDescent="0.2">
      <c r="A88" s="1" t="s">
        <v>47</v>
      </c>
      <c r="B88" s="1">
        <v>0</v>
      </c>
      <c r="C88" s="1">
        <v>5</v>
      </c>
      <c r="D88" s="1" t="s">
        <v>8</v>
      </c>
      <c r="E88" s="1" t="s">
        <v>58</v>
      </c>
      <c r="F88" s="2">
        <v>0.52495370370370364</v>
      </c>
      <c r="G88" s="1">
        <v>0.65600000000000003</v>
      </c>
      <c r="H88" s="1">
        <v>0.65800000000000003</v>
      </c>
      <c r="I88" s="1">
        <v>0.65300000000000002</v>
      </c>
      <c r="J88" s="1">
        <v>0.64700000000000002</v>
      </c>
      <c r="K88" s="1">
        <v>0.65200000000000002</v>
      </c>
      <c r="L88" s="1">
        <v>0.66200000000000003</v>
      </c>
      <c r="M88" s="1">
        <v>0.65800000000000003</v>
      </c>
      <c r="N88" s="1">
        <v>0.67200000000000004</v>
      </c>
      <c r="O88" s="1">
        <v>0.67800000000000005</v>
      </c>
      <c r="P88" s="1">
        <v>0.67100000000000004</v>
      </c>
      <c r="R88" s="4">
        <f t="shared" si="21"/>
        <v>0.66070000000000007</v>
      </c>
      <c r="S88" s="4">
        <f t="shared" si="22"/>
        <v>9.4556861200020895E-3</v>
      </c>
      <c r="T88" s="4"/>
      <c r="U88" s="4"/>
      <c r="AA88" s="6">
        <f t="shared" si="20"/>
        <v>100</v>
      </c>
    </row>
    <row r="89" spans="1:27" x14ac:dyDescent="0.2">
      <c r="A89" s="1" t="s">
        <v>47</v>
      </c>
      <c r="B89" s="1">
        <v>10</v>
      </c>
      <c r="C89" s="1">
        <v>1</v>
      </c>
      <c r="D89" s="1" t="s">
        <v>21</v>
      </c>
      <c r="E89" s="1" t="s">
        <v>58</v>
      </c>
      <c r="F89" s="2">
        <v>0.41012731481481479</v>
      </c>
      <c r="G89" s="1">
        <v>0.69199999999999995</v>
      </c>
      <c r="H89" s="1">
        <v>0.70699999999999996</v>
      </c>
      <c r="I89" s="1">
        <v>0.69299999999999995</v>
      </c>
      <c r="J89" s="1">
        <v>0.68700000000000006</v>
      </c>
      <c r="K89" s="1">
        <v>0.67500000000000004</v>
      </c>
      <c r="L89" s="1">
        <v>0.69599999999999995</v>
      </c>
      <c r="M89" s="1">
        <v>0.68799999999999994</v>
      </c>
      <c r="N89" s="1">
        <v>0.69199999999999995</v>
      </c>
      <c r="O89" s="1">
        <v>0.69499999999999995</v>
      </c>
      <c r="P89" s="1">
        <v>0.68899999999999995</v>
      </c>
      <c r="R89" s="4">
        <f t="shared" si="21"/>
        <v>0.69140000000000001</v>
      </c>
      <c r="S89" s="4">
        <f t="shared" si="22"/>
        <v>7.6576758876306366E-3</v>
      </c>
      <c r="T89" s="4">
        <f>AVERAGE(G89:P93)</f>
        <v>0.67478000000000027</v>
      </c>
      <c r="U89" s="4">
        <f>_xlfn.STDEV.P(G89:P93)</f>
        <v>2.304455684104164E-2</v>
      </c>
      <c r="AA89" s="6">
        <f t="shared" si="20"/>
        <v>71.604938271604937</v>
      </c>
    </row>
    <row r="90" spans="1:27" x14ac:dyDescent="0.2">
      <c r="A90" s="1" t="s">
        <v>47</v>
      </c>
      <c r="B90" s="1">
        <v>10</v>
      </c>
      <c r="C90" s="1">
        <v>2</v>
      </c>
      <c r="D90" s="1" t="s">
        <v>22</v>
      </c>
      <c r="E90" s="1" t="s">
        <v>58</v>
      </c>
      <c r="F90" s="2">
        <v>0.41122685185185182</v>
      </c>
      <c r="G90" s="1">
        <v>0.66800000000000004</v>
      </c>
      <c r="H90" s="1">
        <v>0.66700000000000004</v>
      </c>
      <c r="I90" s="1">
        <v>0.67100000000000004</v>
      </c>
      <c r="J90" s="1">
        <v>0.68100000000000005</v>
      </c>
      <c r="K90" s="1">
        <v>0.68</v>
      </c>
      <c r="L90" s="1">
        <v>0.67400000000000004</v>
      </c>
      <c r="M90" s="1">
        <v>0.67800000000000005</v>
      </c>
      <c r="N90" s="1">
        <v>0.65700000000000003</v>
      </c>
      <c r="O90" s="1">
        <v>0.64800000000000002</v>
      </c>
      <c r="P90" s="1">
        <v>0.65600000000000003</v>
      </c>
      <c r="R90" s="4">
        <f t="shared" si="21"/>
        <v>0.66799999999999993</v>
      </c>
      <c r="S90" s="4">
        <f t="shared" si="22"/>
        <v>1.0601886624558866E-2</v>
      </c>
      <c r="AA90" s="6">
        <f t="shared" si="20"/>
        <v>74.623115577889436</v>
      </c>
    </row>
    <row r="91" spans="1:27" x14ac:dyDescent="0.2">
      <c r="A91" s="1" t="s">
        <v>47</v>
      </c>
      <c r="B91" s="1">
        <v>10</v>
      </c>
      <c r="C91" s="1">
        <v>3</v>
      </c>
      <c r="D91" s="1" t="s">
        <v>23</v>
      </c>
      <c r="E91" s="1" t="s">
        <v>58</v>
      </c>
      <c r="F91" s="2">
        <v>0.42953703703703705</v>
      </c>
      <c r="G91" s="1">
        <v>0.70299999999999996</v>
      </c>
      <c r="H91" s="1">
        <v>0.69699999999999995</v>
      </c>
      <c r="I91" s="1">
        <v>0.69699999999999995</v>
      </c>
      <c r="J91" s="1">
        <v>0.69199999999999995</v>
      </c>
      <c r="K91" s="1">
        <v>0.69499999999999995</v>
      </c>
      <c r="L91" s="1">
        <v>0.69</v>
      </c>
      <c r="M91" s="1">
        <v>0.69299999999999995</v>
      </c>
      <c r="N91" s="1">
        <v>0.68300000000000005</v>
      </c>
      <c r="O91" s="1">
        <v>0.69599999999999995</v>
      </c>
      <c r="P91" s="1">
        <v>0.69199999999999995</v>
      </c>
      <c r="R91" s="4">
        <f t="shared" si="21"/>
        <v>0.69379999999999986</v>
      </c>
      <c r="S91" s="4">
        <f t="shared" si="22"/>
        <v>4.9959983987186993E-3</v>
      </c>
      <c r="AA91" s="6">
        <f t="shared" si="20"/>
        <v>56.521739130434845</v>
      </c>
    </row>
    <row r="92" spans="1:27" x14ac:dyDescent="0.2">
      <c r="A92" s="1" t="s">
        <v>47</v>
      </c>
      <c r="B92" s="1">
        <v>10</v>
      </c>
      <c r="C92" s="1">
        <v>4</v>
      </c>
      <c r="D92" s="1" t="s">
        <v>24</v>
      </c>
      <c r="E92" s="1" t="s">
        <v>58</v>
      </c>
      <c r="F92" s="2">
        <v>0.49891203703703701</v>
      </c>
      <c r="G92" s="1">
        <v>0.65800000000000003</v>
      </c>
      <c r="H92" s="1">
        <v>0.67</v>
      </c>
      <c r="I92" s="1">
        <v>0.65</v>
      </c>
      <c r="J92" s="1">
        <v>0.65900000000000003</v>
      </c>
      <c r="K92" s="1">
        <v>0.61699999999999999</v>
      </c>
      <c r="L92" s="1">
        <v>0.623</v>
      </c>
      <c r="M92" s="1">
        <v>0.63100000000000001</v>
      </c>
      <c r="N92" s="1">
        <v>0.63100000000000001</v>
      </c>
      <c r="O92" s="1">
        <v>0.63800000000000001</v>
      </c>
      <c r="P92" s="1">
        <v>0.629</v>
      </c>
      <c r="R92" s="4">
        <f t="shared" si="21"/>
        <v>0.64060000000000006</v>
      </c>
      <c r="S92" s="4">
        <f t="shared" si="22"/>
        <v>1.669251329189228E-2</v>
      </c>
      <c r="AA92" s="6">
        <f t="shared" si="20"/>
        <v>71.64948453608244</v>
      </c>
    </row>
    <row r="93" spans="1:27" x14ac:dyDescent="0.2">
      <c r="A93" s="1" t="s">
        <v>47</v>
      </c>
      <c r="B93" s="1">
        <v>10</v>
      </c>
      <c r="C93" s="1">
        <v>5</v>
      </c>
      <c r="D93" s="1" t="s">
        <v>25</v>
      </c>
      <c r="E93" s="1" t="s">
        <v>58</v>
      </c>
      <c r="F93" s="2">
        <v>0.49998842592592596</v>
      </c>
      <c r="G93" s="1">
        <v>0.65500000000000003</v>
      </c>
      <c r="H93" s="1">
        <v>0.67500000000000004</v>
      </c>
      <c r="I93" s="1">
        <v>0.68500000000000005</v>
      </c>
      <c r="J93" s="1">
        <v>0.65400000000000003</v>
      </c>
      <c r="K93" s="1">
        <v>0.66900000000000004</v>
      </c>
      <c r="L93" s="1">
        <v>0.70299999999999996</v>
      </c>
      <c r="M93" s="1">
        <v>0.67200000000000004</v>
      </c>
      <c r="N93" s="1">
        <v>0.68600000000000005</v>
      </c>
      <c r="O93" s="1">
        <v>0.69799999999999995</v>
      </c>
      <c r="P93" s="1">
        <v>0.70399999999999996</v>
      </c>
      <c r="R93" s="4">
        <f t="shared" si="21"/>
        <v>0.68009999999999993</v>
      </c>
      <c r="S93" s="4">
        <f t="shared" si="22"/>
        <v>1.7323105957073606E-2</v>
      </c>
      <c r="AA93" s="6">
        <f t="shared" si="20"/>
        <v>78.553615960099762</v>
      </c>
    </row>
    <row r="94" spans="1:27" x14ac:dyDescent="0.2">
      <c r="A94" s="1" t="s">
        <v>47</v>
      </c>
      <c r="B94" s="1">
        <v>20</v>
      </c>
      <c r="C94" s="1">
        <v>1</v>
      </c>
      <c r="D94" s="1" t="s">
        <v>59</v>
      </c>
      <c r="E94" s="1" t="s">
        <v>58</v>
      </c>
      <c r="F94" s="2">
        <v>0.59112268518518518</v>
      </c>
      <c r="G94" s="1">
        <v>0</v>
      </c>
      <c r="H94" s="1">
        <v>0</v>
      </c>
      <c r="I94" s="1">
        <v>0.34699999999999998</v>
      </c>
      <c r="J94" s="1">
        <v>0.65800000000000003</v>
      </c>
      <c r="K94" s="1">
        <v>0.32600000000000001</v>
      </c>
      <c r="L94" s="1">
        <v>0.66100000000000003</v>
      </c>
      <c r="M94" s="1">
        <v>0.52600000000000002</v>
      </c>
      <c r="N94" s="1">
        <v>0.66700000000000004</v>
      </c>
      <c r="O94" s="1">
        <v>0.66300000000000003</v>
      </c>
      <c r="P94" s="1">
        <v>0.60799999999999998</v>
      </c>
      <c r="R94" s="4">
        <f t="shared" ref="R94:R98" si="23">AVERAGE(G94:P94)</f>
        <v>0.44559999999999994</v>
      </c>
      <c r="S94" s="4">
        <f t="shared" ref="S94:S98" si="24">_xlfn.STDEV.P(G94:P94)</f>
        <v>0.25333266666578952</v>
      </c>
      <c r="T94" s="4">
        <f>AVERAGE(G94:P98)</f>
        <v>0.60456000000000021</v>
      </c>
      <c r="U94" s="4">
        <f>_xlfn.STDEV.P(G94:P98)</f>
        <v>0.16166522940941749</v>
      </c>
      <c r="AA94" s="6">
        <f t="shared" si="20"/>
        <v>39.069767441860456</v>
      </c>
    </row>
    <row r="95" spans="1:27" x14ac:dyDescent="0.2">
      <c r="A95" s="1" t="s">
        <v>47</v>
      </c>
      <c r="B95" s="1">
        <v>20</v>
      </c>
      <c r="C95" s="1">
        <v>2</v>
      </c>
      <c r="D95" s="1" t="s">
        <v>60</v>
      </c>
      <c r="E95" s="1" t="s">
        <v>58</v>
      </c>
      <c r="F95" s="2">
        <v>0.59212962962962956</v>
      </c>
      <c r="G95" s="1">
        <v>0.64400000000000002</v>
      </c>
      <c r="H95" s="1">
        <v>0.64400000000000002</v>
      </c>
      <c r="I95" s="1">
        <v>0.67</v>
      </c>
      <c r="J95" s="1">
        <v>0.66600000000000004</v>
      </c>
      <c r="K95" s="1">
        <v>0.66500000000000004</v>
      </c>
      <c r="L95" s="1">
        <v>8.5000000000000006E-2</v>
      </c>
      <c r="M95" s="1">
        <v>0.66100000000000003</v>
      </c>
      <c r="N95" s="1">
        <v>0.66700000000000004</v>
      </c>
      <c r="O95" s="1">
        <v>0.65700000000000003</v>
      </c>
      <c r="P95" s="1">
        <v>0.67200000000000004</v>
      </c>
      <c r="R95" s="4">
        <f t="shared" si="23"/>
        <v>0.60309999999999997</v>
      </c>
      <c r="S95" s="4">
        <f t="shared" si="24"/>
        <v>0.17295227665457322</v>
      </c>
      <c r="AA95" s="6">
        <f t="shared" si="20"/>
        <v>43.5233160621761</v>
      </c>
    </row>
    <row r="96" spans="1:27" x14ac:dyDescent="0.2">
      <c r="A96" s="1" t="s">
        <v>47</v>
      </c>
      <c r="B96" s="1">
        <v>20</v>
      </c>
      <c r="C96" s="1">
        <v>3</v>
      </c>
      <c r="D96" s="1" t="s">
        <v>61</v>
      </c>
      <c r="E96" s="1" t="s">
        <v>58</v>
      </c>
      <c r="F96" s="2">
        <v>0.59315972222222224</v>
      </c>
      <c r="G96" s="1">
        <v>0.67700000000000005</v>
      </c>
      <c r="H96" s="1">
        <v>0.66800000000000004</v>
      </c>
      <c r="I96" s="1">
        <v>0.67800000000000005</v>
      </c>
      <c r="J96" s="1">
        <v>0.68600000000000005</v>
      </c>
      <c r="K96" s="1">
        <v>0.67200000000000004</v>
      </c>
      <c r="L96" s="1">
        <v>0.67100000000000004</v>
      </c>
      <c r="M96" s="1">
        <v>0.65800000000000003</v>
      </c>
      <c r="N96" s="1">
        <v>0.63400000000000001</v>
      </c>
      <c r="O96" s="1">
        <v>0.68400000000000005</v>
      </c>
      <c r="P96" s="1">
        <v>0.66600000000000004</v>
      </c>
      <c r="R96" s="4">
        <f t="shared" si="23"/>
        <v>0.66940000000000022</v>
      </c>
      <c r="S96" s="4">
        <f t="shared" si="24"/>
        <v>1.4235167719419409E-2</v>
      </c>
      <c r="AA96" s="6">
        <f t="shared" si="20"/>
        <v>51.155115511551152</v>
      </c>
    </row>
    <row r="97" spans="1:27" x14ac:dyDescent="0.2">
      <c r="A97" s="1" t="s">
        <v>47</v>
      </c>
      <c r="B97" s="1">
        <v>20</v>
      </c>
      <c r="C97" s="1">
        <v>4</v>
      </c>
      <c r="D97" s="1" t="s">
        <v>62</v>
      </c>
      <c r="E97" s="1" t="s">
        <v>58</v>
      </c>
      <c r="F97" s="2">
        <v>0.59422453703703704</v>
      </c>
      <c r="G97" s="1">
        <v>0.65800000000000003</v>
      </c>
      <c r="H97" s="1">
        <v>0.65500000000000003</v>
      </c>
      <c r="I97" s="1">
        <v>0.68100000000000005</v>
      </c>
      <c r="J97" s="1">
        <v>0.69599999999999995</v>
      </c>
      <c r="K97" s="1">
        <v>0.68799999999999994</v>
      </c>
      <c r="L97" s="1">
        <v>0.67</v>
      </c>
      <c r="M97" s="1">
        <v>0.59299999999999997</v>
      </c>
      <c r="N97" s="1">
        <v>0.68700000000000006</v>
      </c>
      <c r="O97" s="1">
        <v>0.67100000000000004</v>
      </c>
      <c r="P97" s="1">
        <v>0.68200000000000005</v>
      </c>
      <c r="R97" s="4">
        <f t="shared" si="23"/>
        <v>0.66810000000000014</v>
      </c>
      <c r="S97" s="4">
        <f t="shared" si="24"/>
        <v>2.7958719570109078E-2</v>
      </c>
      <c r="AA97" s="6">
        <f t="shared" si="20"/>
        <v>46.24999999999995</v>
      </c>
    </row>
    <row r="98" spans="1:27" x14ac:dyDescent="0.2">
      <c r="A98" s="1" t="s">
        <v>47</v>
      </c>
      <c r="B98" s="1">
        <v>20</v>
      </c>
      <c r="C98" s="1">
        <v>5</v>
      </c>
      <c r="D98" s="1" t="s">
        <v>63</v>
      </c>
      <c r="E98" s="1" t="s">
        <v>58</v>
      </c>
      <c r="F98" s="2">
        <v>0.59543981481481478</v>
      </c>
      <c r="G98" s="1">
        <v>0.68300000000000005</v>
      </c>
      <c r="H98" s="1">
        <v>0.65200000000000002</v>
      </c>
      <c r="I98" s="1">
        <v>0.66400000000000003</v>
      </c>
      <c r="J98" s="1">
        <v>0.58199999999999996</v>
      </c>
      <c r="K98" s="1">
        <v>0.61599999999999999</v>
      </c>
      <c r="L98" s="1">
        <v>0.63200000000000001</v>
      </c>
      <c r="M98" s="1">
        <v>0.65800000000000003</v>
      </c>
      <c r="N98" s="1">
        <v>0.58199999999999996</v>
      </c>
      <c r="O98" s="1">
        <v>0.66200000000000003</v>
      </c>
      <c r="P98" s="1">
        <v>0.63500000000000001</v>
      </c>
      <c r="R98" s="4">
        <f t="shared" si="23"/>
        <v>0.63659999999999994</v>
      </c>
      <c r="S98" s="4">
        <f t="shared" si="24"/>
        <v>3.2641078413557387E-2</v>
      </c>
      <c r="AA98" s="6">
        <f t="shared" si="20"/>
        <v>47.97047970479705</v>
      </c>
    </row>
    <row r="99" spans="1:27" x14ac:dyDescent="0.2">
      <c r="A99" s="1" t="s">
        <v>47</v>
      </c>
      <c r="B99" s="1">
        <v>30</v>
      </c>
      <c r="C99" s="1">
        <v>1</v>
      </c>
      <c r="D99" s="1" t="s">
        <v>26</v>
      </c>
      <c r="E99" s="1" t="s">
        <v>58</v>
      </c>
      <c r="F99" s="2">
        <v>0.68172453703703706</v>
      </c>
      <c r="G99" s="1">
        <v>0.68500000000000005</v>
      </c>
      <c r="H99" s="1">
        <v>0.68799999999999994</v>
      </c>
      <c r="I99" s="1">
        <v>0.67400000000000004</v>
      </c>
      <c r="J99" s="1">
        <v>0.66800000000000004</v>
      </c>
      <c r="K99" s="1">
        <v>0.28399999999999997</v>
      </c>
      <c r="L99" s="1">
        <v>0.2</v>
      </c>
      <c r="M99" s="1">
        <v>0.67600000000000005</v>
      </c>
      <c r="N99" s="1">
        <v>0.67700000000000005</v>
      </c>
      <c r="O99" s="1">
        <v>0.65600000000000003</v>
      </c>
      <c r="P99" s="1">
        <v>0.69</v>
      </c>
      <c r="R99" s="4">
        <f t="shared" si="21"/>
        <v>0.58979999999999999</v>
      </c>
      <c r="S99" s="4">
        <f t="shared" si="22"/>
        <v>0.17516437994067188</v>
      </c>
      <c r="T99" s="4">
        <f>AVERAGE(G99:P103)</f>
        <v>0.59470000000000012</v>
      </c>
      <c r="U99" s="4">
        <f>_xlfn.STDEV.P(G99:P103)</f>
        <v>0.15537609211200987</v>
      </c>
      <c r="AA99" s="6">
        <f t="shared" si="20"/>
        <v>34.55882352941174</v>
      </c>
    </row>
    <row r="100" spans="1:27" x14ac:dyDescent="0.2">
      <c r="A100" s="1" t="s">
        <v>47</v>
      </c>
      <c r="B100" s="1">
        <v>30</v>
      </c>
      <c r="C100" s="1">
        <v>2</v>
      </c>
      <c r="D100" s="1" t="s">
        <v>27</v>
      </c>
      <c r="E100" s="1" t="s">
        <v>58</v>
      </c>
      <c r="F100" s="2">
        <v>0.68364583333333329</v>
      </c>
      <c r="G100" s="1">
        <v>0.66600000000000004</v>
      </c>
      <c r="H100" s="1">
        <v>0.66300000000000003</v>
      </c>
      <c r="I100" s="1">
        <v>0.57699999999999996</v>
      </c>
      <c r="J100" s="1">
        <v>0.68600000000000005</v>
      </c>
      <c r="K100" s="1">
        <v>0.69199999999999995</v>
      </c>
      <c r="L100" s="1">
        <v>0.67</v>
      </c>
      <c r="M100" s="1">
        <v>0.66200000000000003</v>
      </c>
      <c r="N100" s="1">
        <v>0.61099999999999999</v>
      </c>
      <c r="O100" s="1">
        <v>0.61299999999999999</v>
      </c>
      <c r="P100" s="1">
        <v>0.65200000000000002</v>
      </c>
      <c r="R100" s="4">
        <f t="shared" si="21"/>
        <v>0.6492</v>
      </c>
      <c r="S100" s="4">
        <f t="shared" si="22"/>
        <v>3.4993713721181423E-2</v>
      </c>
      <c r="AA100" s="6">
        <f t="shared" si="20"/>
        <v>44.800000000000004</v>
      </c>
    </row>
    <row r="101" spans="1:27" x14ac:dyDescent="0.2">
      <c r="A101" s="1" t="s">
        <v>47</v>
      </c>
      <c r="B101" s="1">
        <v>30</v>
      </c>
      <c r="C101" s="1">
        <v>3</v>
      </c>
      <c r="D101" s="1" t="s">
        <v>28</v>
      </c>
      <c r="E101" s="1" t="s">
        <v>58</v>
      </c>
      <c r="F101" s="2">
        <v>0.68471064814814808</v>
      </c>
      <c r="G101" s="1">
        <v>0.61799999999999999</v>
      </c>
      <c r="H101" s="1">
        <v>0.11899999999999999</v>
      </c>
      <c r="I101" s="1">
        <v>0.66</v>
      </c>
      <c r="J101" s="1">
        <v>6.4000000000000001E-2</v>
      </c>
      <c r="K101" s="1">
        <v>0.67700000000000005</v>
      </c>
      <c r="L101" s="1">
        <v>0.63600000000000001</v>
      </c>
      <c r="M101" s="1">
        <v>0.64200000000000002</v>
      </c>
      <c r="N101" s="1">
        <v>0.63100000000000001</v>
      </c>
      <c r="O101" s="1">
        <v>0.60399999999999998</v>
      </c>
      <c r="P101" s="1">
        <v>0.59799999999999998</v>
      </c>
      <c r="R101" s="4">
        <f t="shared" si="21"/>
        <v>0.52489999999999992</v>
      </c>
      <c r="S101" s="4">
        <f t="shared" si="22"/>
        <v>0.21820882200314443</v>
      </c>
      <c r="AA101" s="6">
        <f t="shared" si="20"/>
        <v>29.850746268656742</v>
      </c>
    </row>
    <row r="102" spans="1:27" x14ac:dyDescent="0.2">
      <c r="A102" s="1" t="s">
        <v>47</v>
      </c>
      <c r="B102" s="1">
        <v>30</v>
      </c>
      <c r="C102" s="1">
        <v>4</v>
      </c>
      <c r="D102" s="1" t="s">
        <v>29</v>
      </c>
      <c r="E102" s="1" t="s">
        <v>58</v>
      </c>
      <c r="F102" s="2">
        <v>0.68577546296296299</v>
      </c>
      <c r="G102" s="1">
        <v>0.68400000000000005</v>
      </c>
      <c r="H102" s="1">
        <v>0.66300000000000003</v>
      </c>
      <c r="I102" s="1">
        <v>0.67300000000000004</v>
      </c>
      <c r="J102" s="1">
        <v>0.53100000000000003</v>
      </c>
      <c r="K102" s="1">
        <v>0.68</v>
      </c>
      <c r="L102" s="1">
        <v>0.66700000000000004</v>
      </c>
      <c r="M102" s="1">
        <v>0.68400000000000005</v>
      </c>
      <c r="N102" s="1">
        <v>0.68700000000000006</v>
      </c>
      <c r="O102" s="1">
        <v>0.66</v>
      </c>
      <c r="P102" s="1">
        <v>0.67800000000000005</v>
      </c>
      <c r="R102" s="4">
        <f t="shared" si="21"/>
        <v>0.66070000000000007</v>
      </c>
      <c r="S102" s="4">
        <f t="shared" si="22"/>
        <v>4.4122669910149369E-2</v>
      </c>
      <c r="AA102" s="6">
        <f t="shared" si="20"/>
        <v>33.695652173913011</v>
      </c>
    </row>
    <row r="103" spans="1:27" x14ac:dyDescent="0.2">
      <c r="A103" s="1" t="s">
        <v>47</v>
      </c>
      <c r="B103" s="1">
        <v>30</v>
      </c>
      <c r="C103" s="1">
        <v>5</v>
      </c>
      <c r="D103" s="1" t="s">
        <v>30</v>
      </c>
      <c r="E103" s="1" t="s">
        <v>58</v>
      </c>
      <c r="F103" s="2">
        <v>0.68699074074074085</v>
      </c>
      <c r="G103" s="1">
        <v>0.14799999999999999</v>
      </c>
      <c r="H103" s="1">
        <v>0.68</v>
      </c>
      <c r="I103" s="1">
        <v>0.499</v>
      </c>
      <c r="J103" s="1">
        <v>0.69</v>
      </c>
      <c r="K103" s="1">
        <v>0.58799999999999997</v>
      </c>
      <c r="L103" s="1">
        <v>0.63500000000000001</v>
      </c>
      <c r="M103" s="1">
        <v>0.53700000000000003</v>
      </c>
      <c r="N103" s="1">
        <v>0.41699999999999998</v>
      </c>
      <c r="O103" s="1">
        <v>0.68600000000000005</v>
      </c>
      <c r="P103" s="1">
        <v>0.60899999999999999</v>
      </c>
      <c r="R103" s="4">
        <f t="shared" si="21"/>
        <v>0.54889999999999994</v>
      </c>
      <c r="S103" s="4">
        <f t="shared" si="22"/>
        <v>0.1578597162039764</v>
      </c>
      <c r="AA103" s="6">
        <f t="shared" si="20"/>
        <v>27.683615819209017</v>
      </c>
    </row>
    <row r="104" spans="1:27" x14ac:dyDescent="0.2">
      <c r="A104" s="1" t="s">
        <v>47</v>
      </c>
      <c r="B104" s="1">
        <v>45</v>
      </c>
      <c r="C104" s="1">
        <v>1</v>
      </c>
      <c r="D104" s="1" t="s">
        <v>64</v>
      </c>
      <c r="E104" s="1" t="s">
        <v>58</v>
      </c>
      <c r="F104" s="2">
        <v>0.46484953703703707</v>
      </c>
      <c r="G104" s="1">
        <v>0.16200000000000001</v>
      </c>
      <c r="H104" s="1">
        <v>0.58899999999999997</v>
      </c>
      <c r="I104" s="1">
        <v>0.59899999999999998</v>
      </c>
      <c r="J104" s="1">
        <v>0.21199999999999999</v>
      </c>
      <c r="K104" s="1">
        <v>0.54800000000000004</v>
      </c>
      <c r="L104" s="1">
        <v>0.63100000000000001</v>
      </c>
      <c r="M104" s="1">
        <v>0.56399999999999995</v>
      </c>
      <c r="N104" s="1">
        <v>0.46899999999999997</v>
      </c>
      <c r="O104" s="1">
        <v>0</v>
      </c>
      <c r="P104" s="1">
        <v>0</v>
      </c>
      <c r="R104" s="4">
        <f t="shared" ref="R104:R108" si="25">AVERAGE(G104:P104)</f>
        <v>0.37740000000000007</v>
      </c>
      <c r="S104" s="4">
        <f t="shared" ref="S104:S108" si="26">_xlfn.STDEV.P(G104:P104)</f>
        <v>0.24271884970063604</v>
      </c>
      <c r="T104" s="4">
        <f>AVERAGE(G104:P108)</f>
        <v>0.25164000000000003</v>
      </c>
      <c r="U104" s="4">
        <f>_xlfn.STDEV.P(G104:P108)</f>
        <v>0.29386335327835622</v>
      </c>
      <c r="AA104" s="6">
        <f t="shared" si="20"/>
        <v>19.819819819819813</v>
      </c>
    </row>
    <row r="105" spans="1:27" x14ac:dyDescent="0.2">
      <c r="A105" s="1" t="s">
        <v>47</v>
      </c>
      <c r="B105" s="1">
        <v>45</v>
      </c>
      <c r="C105" s="1">
        <v>2</v>
      </c>
      <c r="D105" s="1" t="s">
        <v>65</v>
      </c>
      <c r="E105" s="1" t="s">
        <v>58</v>
      </c>
      <c r="F105" s="2">
        <v>0.46601851851851855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R105" s="4">
        <f t="shared" si="25"/>
        <v>0</v>
      </c>
      <c r="S105" s="4">
        <f t="shared" si="26"/>
        <v>0</v>
      </c>
      <c r="AA105" s="6">
        <f t="shared" si="20"/>
        <v>13.733905579399142</v>
      </c>
    </row>
    <row r="106" spans="1:27" x14ac:dyDescent="0.2">
      <c r="A106" s="1" t="s">
        <v>47</v>
      </c>
      <c r="B106" s="1">
        <v>45</v>
      </c>
      <c r="C106" s="1">
        <v>3</v>
      </c>
      <c r="D106" s="1" t="s">
        <v>66</v>
      </c>
      <c r="E106" s="1" t="s">
        <v>58</v>
      </c>
      <c r="F106" s="2">
        <v>0.4672337962962963</v>
      </c>
      <c r="G106" s="1">
        <v>4.2999999999999997E-2</v>
      </c>
      <c r="H106" s="1">
        <v>0</v>
      </c>
      <c r="I106" s="1">
        <v>0.59499999999999997</v>
      </c>
      <c r="J106" s="1">
        <v>0</v>
      </c>
      <c r="K106" s="1">
        <v>0.63400000000000001</v>
      </c>
      <c r="L106" s="1">
        <v>0.64900000000000002</v>
      </c>
      <c r="M106" s="1">
        <v>0</v>
      </c>
      <c r="N106" s="1">
        <v>0</v>
      </c>
      <c r="O106" s="1">
        <v>0.09</v>
      </c>
      <c r="P106" s="1">
        <v>0.32800000000000001</v>
      </c>
      <c r="R106" s="4">
        <f t="shared" si="25"/>
        <v>0.2339</v>
      </c>
      <c r="S106" s="4">
        <f t="shared" si="26"/>
        <v>0.27342693722455363</v>
      </c>
      <c r="AA106" s="6">
        <f t="shared" si="20"/>
        <v>14.197530864197585</v>
      </c>
    </row>
    <row r="107" spans="1:27" x14ac:dyDescent="0.2">
      <c r="A107" s="1" t="s">
        <v>47</v>
      </c>
      <c r="B107" s="1">
        <v>45</v>
      </c>
      <c r="C107" s="1">
        <v>4</v>
      </c>
      <c r="D107" s="1" t="s">
        <v>67</v>
      </c>
      <c r="E107" s="1" t="s">
        <v>58</v>
      </c>
      <c r="F107" s="2">
        <v>0.46827546296296302</v>
      </c>
      <c r="G107" s="1">
        <v>0.38200000000000001</v>
      </c>
      <c r="H107" s="1">
        <v>0.67</v>
      </c>
      <c r="I107" s="1">
        <v>0.68799999999999994</v>
      </c>
      <c r="J107" s="1">
        <v>0.68</v>
      </c>
      <c r="K107" s="1">
        <v>0.68200000000000005</v>
      </c>
      <c r="L107" s="1">
        <v>0.66900000000000004</v>
      </c>
      <c r="M107" s="1">
        <v>0.67600000000000005</v>
      </c>
      <c r="N107" s="1">
        <v>0.60699999999999998</v>
      </c>
      <c r="O107" s="1">
        <v>0.66500000000000004</v>
      </c>
      <c r="P107" s="1">
        <v>0.68</v>
      </c>
      <c r="R107" s="4">
        <f t="shared" si="25"/>
        <v>0.63990000000000002</v>
      </c>
      <c r="S107" s="4">
        <f t="shared" si="26"/>
        <v>8.8646996565027905E-2</v>
      </c>
      <c r="AA107" s="6">
        <f t="shared" si="20"/>
        <v>32.732732732732714</v>
      </c>
    </row>
    <row r="108" spans="1:27" x14ac:dyDescent="0.2">
      <c r="A108" s="1" t="s">
        <v>47</v>
      </c>
      <c r="B108" s="1">
        <v>45</v>
      </c>
      <c r="C108" s="1">
        <v>5</v>
      </c>
      <c r="D108" s="1" t="s">
        <v>68</v>
      </c>
      <c r="E108" s="1" t="s">
        <v>58</v>
      </c>
      <c r="F108" s="2">
        <v>0.46938657407407408</v>
      </c>
      <c r="G108" s="1">
        <v>0</v>
      </c>
      <c r="H108" s="1">
        <v>0</v>
      </c>
      <c r="I108" s="1">
        <v>0</v>
      </c>
      <c r="J108" s="1">
        <v>3.2000000000000001E-2</v>
      </c>
      <c r="K108" s="1">
        <v>0</v>
      </c>
      <c r="L108" s="1">
        <v>0</v>
      </c>
      <c r="M108" s="1">
        <v>3.7999999999999999E-2</v>
      </c>
      <c r="N108" s="1">
        <v>0</v>
      </c>
      <c r="O108" s="1">
        <v>0</v>
      </c>
      <c r="P108" s="1">
        <v>0</v>
      </c>
      <c r="R108" s="4">
        <f t="shared" si="25"/>
        <v>7.000000000000001E-3</v>
      </c>
      <c r="S108" s="4">
        <f t="shared" si="26"/>
        <v>1.4064138793399329E-2</v>
      </c>
      <c r="AA108" s="6">
        <f t="shared" si="20"/>
        <v>11.11111111111112</v>
      </c>
    </row>
    <row r="109" spans="1:27" x14ac:dyDescent="0.2">
      <c r="A109" s="1" t="s">
        <v>47</v>
      </c>
      <c r="B109" s="1">
        <v>60</v>
      </c>
      <c r="C109" s="1">
        <v>1</v>
      </c>
      <c r="D109" s="1" t="s">
        <v>31</v>
      </c>
      <c r="E109" s="1" t="s">
        <v>58</v>
      </c>
      <c r="F109" s="2">
        <v>0.4810532407407408</v>
      </c>
      <c r="G109" s="1">
        <v>0</v>
      </c>
      <c r="H109" s="1">
        <v>0</v>
      </c>
      <c r="I109" s="1">
        <v>0.157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R109" s="4">
        <f t="shared" si="21"/>
        <v>1.5699999999999999E-2</v>
      </c>
      <c r="S109" s="4">
        <f t="shared" si="22"/>
        <v>4.7100000000000003E-2</v>
      </c>
      <c r="T109" s="4">
        <f>AVERAGE(G109:P113)</f>
        <v>3.14E-3</v>
      </c>
      <c r="U109" s="4">
        <f>_xlfn.STDEV.P(G109:P113)</f>
        <v>2.198E-2</v>
      </c>
      <c r="AA109" s="6">
        <f t="shared" si="20"/>
        <v>10.714285714285712</v>
      </c>
    </row>
    <row r="110" spans="1:27" x14ac:dyDescent="0.2">
      <c r="A110" s="1" t="s">
        <v>47</v>
      </c>
      <c r="B110" s="1">
        <v>60</v>
      </c>
      <c r="C110" s="1">
        <v>2</v>
      </c>
      <c r="D110" s="1" t="s">
        <v>32</v>
      </c>
      <c r="E110" s="1" t="s">
        <v>58</v>
      </c>
      <c r="F110" s="2">
        <v>0.48236111111111107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R110" s="4">
        <f t="shared" si="21"/>
        <v>0</v>
      </c>
      <c r="S110" s="4">
        <f t="shared" si="22"/>
        <v>0</v>
      </c>
      <c r="AA110" s="6">
        <f t="shared" si="20"/>
        <v>11.372549019607824</v>
      </c>
    </row>
    <row r="111" spans="1:27" x14ac:dyDescent="0.2">
      <c r="A111" s="1" t="s">
        <v>47</v>
      </c>
      <c r="B111" s="1">
        <v>60</v>
      </c>
      <c r="C111" s="1">
        <v>3</v>
      </c>
      <c r="D111" s="1" t="s">
        <v>33</v>
      </c>
      <c r="E111" s="1" t="s">
        <v>58</v>
      </c>
      <c r="F111" s="2">
        <v>0.48347222222222225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R111" s="4">
        <f t="shared" si="21"/>
        <v>0</v>
      </c>
      <c r="S111" s="4">
        <f t="shared" si="22"/>
        <v>0</v>
      </c>
      <c r="AA111" s="6">
        <f t="shared" si="20"/>
        <v>7.1428571428571814</v>
      </c>
    </row>
    <row r="112" spans="1:27" x14ac:dyDescent="0.2">
      <c r="A112" s="1" t="s">
        <v>47</v>
      </c>
      <c r="B112" s="1">
        <v>60</v>
      </c>
      <c r="C112" s="1">
        <v>4</v>
      </c>
      <c r="D112" s="1" t="s">
        <v>34</v>
      </c>
      <c r="E112" s="1" t="s">
        <v>58</v>
      </c>
      <c r="F112" s="2">
        <v>0.48495370370370372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R112" s="4">
        <f t="shared" si="21"/>
        <v>0</v>
      </c>
      <c r="S112" s="4">
        <f t="shared" si="22"/>
        <v>0</v>
      </c>
      <c r="AA112" s="6">
        <f t="shared" si="20"/>
        <v>7.0422535211267405</v>
      </c>
    </row>
    <row r="113" spans="1:27" x14ac:dyDescent="0.2">
      <c r="A113" s="1" t="s">
        <v>47</v>
      </c>
      <c r="B113" s="1">
        <v>60</v>
      </c>
      <c r="C113" s="1">
        <v>5</v>
      </c>
      <c r="D113" s="1" t="s">
        <v>35</v>
      </c>
      <c r="E113" s="1" t="s">
        <v>58</v>
      </c>
      <c r="F113" s="2">
        <v>0.48598379629629629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R113" s="4">
        <f t="shared" si="21"/>
        <v>0</v>
      </c>
      <c r="S113" s="4">
        <f t="shared" si="22"/>
        <v>0</v>
      </c>
      <c r="AA113" s="6">
        <f t="shared" si="20"/>
        <v>8.8888888888889515</v>
      </c>
    </row>
    <row r="114" spans="1:27" x14ac:dyDescent="0.2">
      <c r="A114" s="1" t="s">
        <v>47</v>
      </c>
      <c r="B114" s="1">
        <v>120</v>
      </c>
      <c r="C114" s="1">
        <v>1</v>
      </c>
      <c r="D114" s="1" t="s">
        <v>36</v>
      </c>
      <c r="E114" s="1" t="s">
        <v>58</v>
      </c>
      <c r="F114" s="2">
        <v>0.6331944444444445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R114" s="4">
        <f t="shared" si="21"/>
        <v>0</v>
      </c>
      <c r="S114" s="4">
        <f t="shared" si="22"/>
        <v>0</v>
      </c>
      <c r="T114" s="4">
        <f>AVERAGE(G114:P118)</f>
        <v>0</v>
      </c>
      <c r="U114" s="4">
        <f>_xlfn.STDEV.P(G114:P118)</f>
        <v>0</v>
      </c>
      <c r="AA114" s="6">
        <f t="shared" si="20"/>
        <v>10.796460176991191</v>
      </c>
    </row>
    <row r="115" spans="1:27" x14ac:dyDescent="0.2">
      <c r="A115" s="1" t="s">
        <v>47</v>
      </c>
      <c r="B115" s="1">
        <v>120</v>
      </c>
      <c r="C115" s="1">
        <v>2</v>
      </c>
      <c r="D115" s="1" t="s">
        <v>37</v>
      </c>
      <c r="E115" s="1" t="s">
        <v>58</v>
      </c>
      <c r="F115" s="2">
        <v>0.63425925925925919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R115" s="4">
        <f t="shared" si="21"/>
        <v>0</v>
      </c>
      <c r="S115" s="4">
        <f t="shared" si="22"/>
        <v>0</v>
      </c>
      <c r="AA115" s="6">
        <f t="shared" si="20"/>
        <v>25.268817204301076</v>
      </c>
    </row>
    <row r="116" spans="1:27" x14ac:dyDescent="0.2">
      <c r="A116" s="1" t="s">
        <v>47</v>
      </c>
      <c r="B116" s="1">
        <v>120</v>
      </c>
      <c r="C116" s="1">
        <v>3</v>
      </c>
      <c r="D116" s="1" t="s">
        <v>38</v>
      </c>
      <c r="E116" s="1" t="s">
        <v>58</v>
      </c>
      <c r="F116" s="2">
        <v>0.63523148148148145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R116" s="4">
        <f t="shared" si="21"/>
        <v>0</v>
      </c>
      <c r="S116" s="4">
        <f t="shared" si="22"/>
        <v>0</v>
      </c>
      <c r="AA116" s="6">
        <f t="shared" ref="AA116:AA123" si="27">AA75</f>
        <v>8.9285714285713986</v>
      </c>
    </row>
    <row r="117" spans="1:27" x14ac:dyDescent="0.2">
      <c r="A117" s="1" t="s">
        <v>47</v>
      </c>
      <c r="B117" s="1">
        <v>120</v>
      </c>
      <c r="C117" s="1">
        <v>4</v>
      </c>
      <c r="D117" s="1" t="s">
        <v>39</v>
      </c>
      <c r="E117" s="1" t="s">
        <v>58</v>
      </c>
      <c r="F117" s="2">
        <v>0.63611111111111118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R117" s="4">
        <f t="shared" si="21"/>
        <v>0</v>
      </c>
      <c r="S117" s="4">
        <f t="shared" si="22"/>
        <v>0</v>
      </c>
      <c r="AA117" s="6">
        <f t="shared" si="27"/>
        <v>11.724137931034557</v>
      </c>
    </row>
    <row r="118" spans="1:27" x14ac:dyDescent="0.2">
      <c r="A118" s="1" t="s">
        <v>47</v>
      </c>
      <c r="B118" s="1">
        <v>120</v>
      </c>
      <c r="C118" s="1">
        <v>5</v>
      </c>
      <c r="D118" s="1" t="s">
        <v>40</v>
      </c>
      <c r="E118" s="1" t="s">
        <v>58</v>
      </c>
      <c r="F118" s="2">
        <v>0.63714120370370375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R118" s="4">
        <f t="shared" si="21"/>
        <v>0</v>
      </c>
      <c r="S118" s="4">
        <f t="shared" si="22"/>
        <v>0</v>
      </c>
      <c r="AA118" s="6">
        <f t="shared" si="27"/>
        <v>8.3601286173632925</v>
      </c>
    </row>
    <row r="119" spans="1:27" x14ac:dyDescent="0.2">
      <c r="A119" s="1" t="s">
        <v>47</v>
      </c>
      <c r="B119" s="1">
        <v>180</v>
      </c>
      <c r="C119" s="1">
        <v>1</v>
      </c>
      <c r="D119" s="1" t="s">
        <v>41</v>
      </c>
      <c r="E119" s="1" t="s">
        <v>58</v>
      </c>
      <c r="F119" s="2">
        <v>0.68842592592592589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R119" s="4">
        <f t="shared" si="21"/>
        <v>0</v>
      </c>
      <c r="S119" s="4">
        <f t="shared" si="22"/>
        <v>0</v>
      </c>
      <c r="T119" s="4">
        <f>AVERAGE(G119:P123)</f>
        <v>0</v>
      </c>
      <c r="U119" s="4">
        <f>_xlfn.STDEV.P(G119:P123)</f>
        <v>0</v>
      </c>
      <c r="AA119" s="6">
        <f t="shared" si="27"/>
        <v>10.227272727272698</v>
      </c>
    </row>
    <row r="120" spans="1:27" x14ac:dyDescent="0.2">
      <c r="A120" s="1" t="s">
        <v>47</v>
      </c>
      <c r="B120" s="1">
        <v>180</v>
      </c>
      <c r="C120" s="1">
        <v>2</v>
      </c>
      <c r="D120" s="1" t="s">
        <v>42</v>
      </c>
      <c r="E120" s="1" t="s">
        <v>58</v>
      </c>
      <c r="F120" s="2">
        <v>0.69103009259259263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R120" s="4">
        <f t="shared" si="21"/>
        <v>0</v>
      </c>
      <c r="S120" s="4">
        <f t="shared" si="22"/>
        <v>0</v>
      </c>
      <c r="AA120" s="6">
        <f t="shared" si="27"/>
        <v>8.3094555873925451</v>
      </c>
    </row>
    <row r="121" spans="1:27" x14ac:dyDescent="0.2">
      <c r="A121" s="1" t="s">
        <v>47</v>
      </c>
      <c r="B121" s="1">
        <v>180</v>
      </c>
      <c r="C121" s="1">
        <v>3</v>
      </c>
      <c r="D121" s="1" t="s">
        <v>43</v>
      </c>
      <c r="E121" s="1" t="s">
        <v>58</v>
      </c>
      <c r="F121" s="2">
        <v>0.69214120370370369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R121" s="4">
        <f t="shared" si="21"/>
        <v>0</v>
      </c>
      <c r="S121" s="4">
        <f t="shared" si="22"/>
        <v>0</v>
      </c>
      <c r="AA121" s="6">
        <f t="shared" si="27"/>
        <v>9.4202898550724932</v>
      </c>
    </row>
    <row r="122" spans="1:27" x14ac:dyDescent="0.2">
      <c r="A122" s="1" t="s">
        <v>47</v>
      </c>
      <c r="B122" s="1">
        <v>180</v>
      </c>
      <c r="C122" s="1">
        <v>4</v>
      </c>
      <c r="D122" s="1" t="s">
        <v>44</v>
      </c>
      <c r="E122" s="1" t="s">
        <v>58</v>
      </c>
      <c r="F122" s="2">
        <v>0.69333333333333336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R122" s="4">
        <f t="shared" si="21"/>
        <v>0</v>
      </c>
      <c r="S122" s="4">
        <f t="shared" si="22"/>
        <v>0</v>
      </c>
      <c r="AA122" s="6">
        <f t="shared" si="27"/>
        <v>7.142857142857145</v>
      </c>
    </row>
    <row r="123" spans="1:27" x14ac:dyDescent="0.2">
      <c r="A123" s="1" t="s">
        <v>47</v>
      </c>
      <c r="B123" s="1">
        <v>180</v>
      </c>
      <c r="C123" s="1">
        <v>5</v>
      </c>
      <c r="D123" s="1" t="s">
        <v>45</v>
      </c>
      <c r="E123" s="1" t="s">
        <v>58</v>
      </c>
      <c r="F123" s="2">
        <v>0.69478009259259255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R123" s="4">
        <f t="shared" si="21"/>
        <v>0</v>
      </c>
      <c r="S123" s="4">
        <f t="shared" si="22"/>
        <v>0</v>
      </c>
      <c r="AA123" s="6">
        <f t="shared" si="27"/>
        <v>8.6419753086419657</v>
      </c>
    </row>
    <row r="125" spans="1:27" x14ac:dyDescent="0.2">
      <c r="A125" s="1" t="s">
        <v>48</v>
      </c>
      <c r="B125" s="1">
        <v>0</v>
      </c>
      <c r="C125" s="1">
        <v>1</v>
      </c>
      <c r="D125" s="1" t="s">
        <v>4</v>
      </c>
      <c r="E125" s="1" t="s">
        <v>69</v>
      </c>
      <c r="F125" s="2">
        <v>0.36972222222222223</v>
      </c>
      <c r="G125" s="1">
        <v>0.69399999999999995</v>
      </c>
      <c r="H125" s="1">
        <v>0.68700000000000006</v>
      </c>
      <c r="I125" s="1">
        <v>0.68400000000000005</v>
      </c>
      <c r="J125" s="1">
        <v>0.67900000000000005</v>
      </c>
      <c r="K125" s="1">
        <v>0.69699999999999995</v>
      </c>
      <c r="L125" s="1">
        <v>0.68500000000000005</v>
      </c>
      <c r="M125" s="1">
        <v>0.68799999999999994</v>
      </c>
      <c r="N125" s="1">
        <v>0.68500000000000005</v>
      </c>
      <c r="O125" s="1">
        <v>0.69099999999999995</v>
      </c>
      <c r="P125" s="1">
        <v>0.67200000000000004</v>
      </c>
      <c r="R125" s="4">
        <f>AVERAGE(G125:P125)</f>
        <v>0.68619999999999981</v>
      </c>
      <c r="S125" s="4">
        <f>_xlfn.STDEV.P(G125:P125)</f>
        <v>6.8234888436927571E-3</v>
      </c>
      <c r="T125" s="4">
        <f>AVERAGE(G125:P129)</f>
        <v>0.66157999999999983</v>
      </c>
      <c r="U125" s="4">
        <f>_xlfn.STDEV.P(G125:P129)</f>
        <v>1.7877460669793125E-2</v>
      </c>
      <c r="AA125" s="6">
        <f t="shared" ref="AA125:AA144" si="28">AA43</f>
        <v>100</v>
      </c>
    </row>
    <row r="126" spans="1:27" x14ac:dyDescent="0.2">
      <c r="A126" s="1" t="s">
        <v>48</v>
      </c>
      <c r="B126" s="1">
        <v>0</v>
      </c>
      <c r="C126" s="1">
        <v>2</v>
      </c>
      <c r="D126" s="1" t="s">
        <v>5</v>
      </c>
      <c r="E126" s="1" t="s">
        <v>69</v>
      </c>
      <c r="F126" s="2">
        <v>0.37188657407407405</v>
      </c>
      <c r="G126" s="1">
        <v>0.67</v>
      </c>
      <c r="H126" s="1">
        <v>0.66800000000000004</v>
      </c>
      <c r="I126" s="1">
        <v>0.67900000000000005</v>
      </c>
      <c r="J126" s="1">
        <v>0.65800000000000003</v>
      </c>
      <c r="K126" s="1">
        <v>0.66900000000000004</v>
      </c>
      <c r="L126" s="1">
        <v>0.66200000000000003</v>
      </c>
      <c r="M126" s="1">
        <v>0.65400000000000003</v>
      </c>
      <c r="N126" s="1">
        <v>0.66200000000000003</v>
      </c>
      <c r="O126" s="1">
        <v>0.65300000000000002</v>
      </c>
      <c r="P126" s="1">
        <v>0.66300000000000003</v>
      </c>
      <c r="R126" s="4">
        <f t="shared" ref="R126:R164" si="29">AVERAGE(G126:P126)</f>
        <v>0.66379999999999995</v>
      </c>
      <c r="S126" s="4">
        <f t="shared" ref="S126:S164" si="30">_xlfn.STDEV.P(G126:P126)</f>
        <v>7.5339232807349514E-3</v>
      </c>
      <c r="T126" s="4"/>
      <c r="U126" s="4"/>
      <c r="AA126" s="6">
        <f t="shared" si="28"/>
        <v>100</v>
      </c>
    </row>
    <row r="127" spans="1:27" x14ac:dyDescent="0.2">
      <c r="A127" s="1" t="s">
        <v>48</v>
      </c>
      <c r="B127" s="1">
        <v>0</v>
      </c>
      <c r="C127" s="1">
        <v>3</v>
      </c>
      <c r="D127" s="1" t="s">
        <v>6</v>
      </c>
      <c r="E127" s="1" t="s">
        <v>69</v>
      </c>
      <c r="F127" s="2">
        <v>0.37304398148148149</v>
      </c>
      <c r="G127" s="1">
        <v>0.65200000000000002</v>
      </c>
      <c r="H127" s="1">
        <v>0.66600000000000004</v>
      </c>
      <c r="I127" s="1">
        <v>0.65600000000000003</v>
      </c>
      <c r="J127" s="1">
        <v>0.66200000000000003</v>
      </c>
      <c r="K127" s="1">
        <v>0.65</v>
      </c>
      <c r="L127" s="1">
        <v>0.65600000000000003</v>
      </c>
      <c r="M127" s="1">
        <v>0.66800000000000004</v>
      </c>
      <c r="N127" s="1">
        <v>0.65900000000000003</v>
      </c>
      <c r="O127" s="1">
        <v>0.628</v>
      </c>
      <c r="P127" s="1">
        <v>0.65800000000000003</v>
      </c>
      <c r="R127" s="4">
        <f t="shared" si="29"/>
        <v>0.65550000000000008</v>
      </c>
      <c r="S127" s="4">
        <f t="shared" si="30"/>
        <v>1.0613670430157525E-2</v>
      </c>
      <c r="T127" s="4"/>
      <c r="U127" s="4"/>
      <c r="AA127" s="6">
        <f t="shared" si="28"/>
        <v>100</v>
      </c>
    </row>
    <row r="128" spans="1:27" x14ac:dyDescent="0.2">
      <c r="A128" s="1" t="s">
        <v>48</v>
      </c>
      <c r="B128" s="1">
        <v>0</v>
      </c>
      <c r="C128" s="1">
        <v>4</v>
      </c>
      <c r="D128" s="1" t="s">
        <v>7</v>
      </c>
      <c r="E128" s="1" t="s">
        <v>69</v>
      </c>
      <c r="F128" s="2">
        <v>0.3747800925925926</v>
      </c>
      <c r="G128" s="1">
        <v>0.64500000000000002</v>
      </c>
      <c r="H128" s="1">
        <v>0.64900000000000002</v>
      </c>
      <c r="I128" s="1">
        <v>0.63900000000000001</v>
      </c>
      <c r="J128" s="1">
        <v>0.64</v>
      </c>
      <c r="K128" s="1">
        <v>0.65600000000000003</v>
      </c>
      <c r="L128" s="1">
        <v>0.63500000000000001</v>
      </c>
      <c r="M128" s="1">
        <v>0.66500000000000004</v>
      </c>
      <c r="N128" s="1">
        <v>0.61199999999999999</v>
      </c>
      <c r="O128" s="1">
        <v>0.64400000000000002</v>
      </c>
      <c r="P128" s="1">
        <v>0.629</v>
      </c>
      <c r="R128" s="4">
        <f t="shared" si="29"/>
        <v>0.64139999999999997</v>
      </c>
      <c r="S128" s="4">
        <f t="shared" si="30"/>
        <v>1.3836184445142393E-2</v>
      </c>
      <c r="T128" s="4"/>
      <c r="U128" s="4"/>
      <c r="AA128" s="6">
        <f t="shared" si="28"/>
        <v>100</v>
      </c>
    </row>
    <row r="129" spans="1:27" x14ac:dyDescent="0.2">
      <c r="A129" s="1" t="s">
        <v>48</v>
      </c>
      <c r="B129" s="1">
        <v>0</v>
      </c>
      <c r="C129" s="1">
        <v>5</v>
      </c>
      <c r="D129" s="1" t="s">
        <v>8</v>
      </c>
      <c r="E129" s="1" t="s">
        <v>69</v>
      </c>
      <c r="F129" s="2">
        <v>0.37628472222222226</v>
      </c>
      <c r="G129" s="1">
        <v>0.64800000000000002</v>
      </c>
      <c r="H129" s="1">
        <v>0.65900000000000003</v>
      </c>
      <c r="I129" s="1">
        <v>0.68500000000000005</v>
      </c>
      <c r="J129" s="1">
        <v>0.66400000000000003</v>
      </c>
      <c r="K129" s="1">
        <v>0.63900000000000001</v>
      </c>
      <c r="L129" s="1">
        <v>0.66200000000000003</v>
      </c>
      <c r="M129" s="1">
        <v>0.66200000000000003</v>
      </c>
      <c r="N129" s="1">
        <v>0.65700000000000003</v>
      </c>
      <c r="O129" s="1">
        <v>0.67</v>
      </c>
      <c r="P129" s="1">
        <v>0.66400000000000003</v>
      </c>
      <c r="R129" s="4">
        <f t="shared" si="29"/>
        <v>0.66099999999999992</v>
      </c>
      <c r="S129" s="4">
        <f t="shared" si="30"/>
        <v>1.1618950038622259E-2</v>
      </c>
      <c r="T129" s="4"/>
      <c r="U129" s="4"/>
      <c r="AA129" s="6">
        <f t="shared" si="28"/>
        <v>100</v>
      </c>
    </row>
    <row r="130" spans="1:27" x14ac:dyDescent="0.2">
      <c r="A130" s="1" t="s">
        <v>48</v>
      </c>
      <c r="B130" s="1">
        <v>10</v>
      </c>
      <c r="C130" s="1">
        <v>1</v>
      </c>
      <c r="D130" s="1" t="s">
        <v>21</v>
      </c>
      <c r="E130" s="1" t="s">
        <v>69</v>
      </c>
      <c r="F130" s="2">
        <v>0.37840277777777781</v>
      </c>
      <c r="G130" s="1">
        <v>0.67900000000000005</v>
      </c>
      <c r="H130" s="1">
        <v>0.68400000000000005</v>
      </c>
      <c r="I130" s="1">
        <v>0.69899999999999995</v>
      </c>
      <c r="J130" s="1">
        <v>0.64900000000000002</v>
      </c>
      <c r="K130" s="1">
        <v>0.65300000000000002</v>
      </c>
      <c r="L130" s="1">
        <v>0.67300000000000004</v>
      </c>
      <c r="M130" s="1">
        <v>0.7</v>
      </c>
      <c r="N130" s="1">
        <v>0.70199999999999996</v>
      </c>
      <c r="O130" s="1">
        <v>0.68100000000000005</v>
      </c>
      <c r="P130" s="1">
        <v>0.68700000000000006</v>
      </c>
      <c r="R130" s="4">
        <f t="shared" si="29"/>
        <v>0.68070000000000008</v>
      </c>
      <c r="S130" s="4">
        <f t="shared" si="30"/>
        <v>1.7453079957417236E-2</v>
      </c>
      <c r="T130" s="4">
        <f>AVERAGE(G130:P134)</f>
        <v>0.65960000000000008</v>
      </c>
      <c r="U130" s="4">
        <f>_xlfn.STDEV.P(G130:P134)</f>
        <v>2.9879089678234858E-2</v>
      </c>
      <c r="AA130" s="6">
        <f t="shared" si="28"/>
        <v>71.604938271604937</v>
      </c>
    </row>
    <row r="131" spans="1:27" x14ac:dyDescent="0.2">
      <c r="A131" s="1" t="s">
        <v>48</v>
      </c>
      <c r="B131" s="1">
        <v>10</v>
      </c>
      <c r="C131" s="1">
        <v>2</v>
      </c>
      <c r="D131" s="1" t="s">
        <v>22</v>
      </c>
      <c r="E131" s="1" t="s">
        <v>69</v>
      </c>
      <c r="F131" s="2">
        <v>0.37976851851851851</v>
      </c>
      <c r="G131" s="1">
        <v>0.68</v>
      </c>
      <c r="H131" s="1">
        <v>0.65400000000000003</v>
      </c>
      <c r="I131" s="1">
        <v>0.65200000000000002</v>
      </c>
      <c r="J131" s="1">
        <v>0.65600000000000003</v>
      </c>
      <c r="K131" s="1">
        <v>0.67500000000000004</v>
      </c>
      <c r="L131" s="1">
        <v>0.66700000000000004</v>
      </c>
      <c r="M131" s="1">
        <v>0.65100000000000002</v>
      </c>
      <c r="N131" s="1">
        <v>0.66</v>
      </c>
      <c r="O131" s="1">
        <v>0.67500000000000004</v>
      </c>
      <c r="P131" s="1">
        <v>0.66200000000000003</v>
      </c>
      <c r="R131" s="4">
        <f t="shared" si="29"/>
        <v>0.66320000000000001</v>
      </c>
      <c r="S131" s="4">
        <f t="shared" si="30"/>
        <v>9.9879927913470272E-3</v>
      </c>
      <c r="AA131" s="6">
        <f t="shared" si="28"/>
        <v>74.623115577889436</v>
      </c>
    </row>
    <row r="132" spans="1:27" x14ac:dyDescent="0.2">
      <c r="A132" s="1" t="s">
        <v>48</v>
      </c>
      <c r="B132" s="1">
        <v>10</v>
      </c>
      <c r="C132" s="1">
        <v>3</v>
      </c>
      <c r="D132" s="7" t="s">
        <v>23</v>
      </c>
      <c r="E132" s="7" t="s">
        <v>69</v>
      </c>
      <c r="F132" s="8">
        <v>0.38093749999999998</v>
      </c>
      <c r="G132" s="7">
        <v>0.67700000000000005</v>
      </c>
      <c r="H132" s="7">
        <v>0.68400000000000005</v>
      </c>
      <c r="I132" s="7">
        <v>0.68400000000000005</v>
      </c>
      <c r="J132" s="7">
        <v>0.69099999999999995</v>
      </c>
      <c r="K132" s="7">
        <v>0.68300000000000005</v>
      </c>
      <c r="L132" s="7">
        <v>0.68799999999999994</v>
      </c>
      <c r="M132" s="7">
        <v>0.66700000000000004</v>
      </c>
      <c r="N132" s="7">
        <v>0.67400000000000004</v>
      </c>
      <c r="O132" s="7">
        <v>0.68200000000000005</v>
      </c>
      <c r="P132" s="7">
        <v>0.66400000000000003</v>
      </c>
      <c r="R132" s="4">
        <f t="shared" si="29"/>
        <v>0.6794</v>
      </c>
      <c r="S132" s="4">
        <f t="shared" si="30"/>
        <v>8.3450584180100075E-3</v>
      </c>
      <c r="AA132" s="6">
        <f t="shared" si="28"/>
        <v>56.521739130434845</v>
      </c>
    </row>
    <row r="133" spans="1:27" x14ac:dyDescent="0.2">
      <c r="A133" s="1" t="s">
        <v>48</v>
      </c>
      <c r="B133" s="1">
        <v>10</v>
      </c>
      <c r="C133" s="1">
        <v>4</v>
      </c>
      <c r="D133" s="1" t="s">
        <v>24</v>
      </c>
      <c r="E133" s="1" t="s">
        <v>69</v>
      </c>
      <c r="F133" s="2">
        <v>0.38209490740740742</v>
      </c>
      <c r="G133" s="1">
        <v>0.63</v>
      </c>
      <c r="H133" s="1">
        <v>0.66400000000000003</v>
      </c>
      <c r="I133" s="1">
        <v>0.65100000000000002</v>
      </c>
      <c r="J133" s="1">
        <v>0.67500000000000004</v>
      </c>
      <c r="K133" s="1">
        <v>0.61399999999999999</v>
      </c>
      <c r="L133" s="1">
        <v>0.59899999999999998</v>
      </c>
      <c r="M133" s="1">
        <v>0.56499999999999995</v>
      </c>
      <c r="N133" s="1">
        <v>0.63600000000000001</v>
      </c>
      <c r="O133" s="1">
        <v>0.56699999999999995</v>
      </c>
      <c r="P133" s="1">
        <v>0.61099999999999999</v>
      </c>
      <c r="R133" s="4">
        <f t="shared" si="29"/>
        <v>0.62119999999999997</v>
      </c>
      <c r="S133" s="4">
        <f t="shared" si="30"/>
        <v>3.5574710118284898E-2</v>
      </c>
      <c r="AA133" s="6">
        <f t="shared" si="28"/>
        <v>71.64948453608244</v>
      </c>
    </row>
    <row r="134" spans="1:27" x14ac:dyDescent="0.2">
      <c r="A134" s="1" t="s">
        <v>48</v>
      </c>
      <c r="B134" s="1">
        <v>10</v>
      </c>
      <c r="C134" s="1">
        <v>5</v>
      </c>
      <c r="D134" s="1" t="s">
        <v>25</v>
      </c>
      <c r="E134" s="1" t="s">
        <v>69</v>
      </c>
      <c r="F134" s="2">
        <v>0.38349537037037035</v>
      </c>
      <c r="G134" s="1">
        <v>0.66900000000000004</v>
      </c>
      <c r="H134" s="1">
        <v>0.68899999999999995</v>
      </c>
      <c r="I134" s="1">
        <v>0.627</v>
      </c>
      <c r="J134" s="1">
        <v>0.64700000000000002</v>
      </c>
      <c r="K134" s="1">
        <v>0.65700000000000003</v>
      </c>
      <c r="L134" s="1">
        <v>0.63700000000000001</v>
      </c>
      <c r="M134" s="1">
        <v>0.63400000000000001</v>
      </c>
      <c r="N134" s="1">
        <v>0.67900000000000005</v>
      </c>
      <c r="O134" s="1">
        <v>0.64700000000000002</v>
      </c>
      <c r="P134" s="1">
        <v>0.64900000000000002</v>
      </c>
      <c r="R134" s="4">
        <f t="shared" si="29"/>
        <v>0.65350000000000008</v>
      </c>
      <c r="S134" s="4">
        <f t="shared" si="30"/>
        <v>1.9032866310674277E-2</v>
      </c>
      <c r="AA134" s="6">
        <f t="shared" si="28"/>
        <v>78.553615960099762</v>
      </c>
    </row>
    <row r="135" spans="1:27" x14ac:dyDescent="0.2">
      <c r="A135" s="1" t="s">
        <v>48</v>
      </c>
      <c r="B135" s="1">
        <v>20</v>
      </c>
      <c r="C135" s="1">
        <v>1</v>
      </c>
      <c r="D135" s="1" t="s">
        <v>59</v>
      </c>
      <c r="E135" s="1" t="s">
        <v>69</v>
      </c>
      <c r="F135" s="2">
        <v>0.3847800925925926</v>
      </c>
      <c r="G135" s="1">
        <v>0.64300000000000002</v>
      </c>
      <c r="H135" s="1">
        <v>0.64700000000000002</v>
      </c>
      <c r="I135" s="1">
        <v>0.64900000000000002</v>
      </c>
      <c r="J135" s="1">
        <v>0.63300000000000001</v>
      </c>
      <c r="K135" s="1">
        <v>0.63500000000000001</v>
      </c>
      <c r="L135" s="1">
        <v>0.63600000000000001</v>
      </c>
      <c r="M135" s="1">
        <v>0.64900000000000002</v>
      </c>
      <c r="N135" s="1">
        <v>0.63200000000000001</v>
      </c>
      <c r="O135" s="1">
        <v>0.62</v>
      </c>
      <c r="P135" s="1">
        <v>0.60399999999999998</v>
      </c>
      <c r="R135" s="4">
        <f t="shared" ref="R135:R139" si="31">AVERAGE(G135:P135)</f>
        <v>0.63480000000000003</v>
      </c>
      <c r="S135" s="4">
        <f t="shared" ref="S135:S139" si="32">_xlfn.STDEV.P(G135:P135)</f>
        <v>1.3414917070187216E-2</v>
      </c>
      <c r="T135" s="4">
        <f>AVERAGE(G135:P139)</f>
        <v>0.62915999999999972</v>
      </c>
      <c r="U135" s="4">
        <f>_xlfn.STDEV.P(G135:P139)</f>
        <v>9.4296417747443295E-2</v>
      </c>
      <c r="AA135" s="6">
        <f t="shared" si="28"/>
        <v>39.069767441860456</v>
      </c>
    </row>
    <row r="136" spans="1:27" x14ac:dyDescent="0.2">
      <c r="A136" s="1" t="s">
        <v>48</v>
      </c>
      <c r="B136" s="1">
        <v>20</v>
      </c>
      <c r="C136" s="1">
        <v>2</v>
      </c>
      <c r="D136" s="1" t="s">
        <v>60</v>
      </c>
      <c r="E136" s="1" t="s">
        <v>69</v>
      </c>
      <c r="F136" s="2">
        <v>0.38693287037037033</v>
      </c>
      <c r="G136" s="1">
        <v>0.66600000000000004</v>
      </c>
      <c r="H136" s="1">
        <v>0.65</v>
      </c>
      <c r="I136" s="1">
        <v>0.63800000000000001</v>
      </c>
      <c r="J136" s="1">
        <v>0.66</v>
      </c>
      <c r="K136" s="1">
        <v>0.53900000000000003</v>
      </c>
      <c r="L136" s="1">
        <v>0</v>
      </c>
      <c r="M136" s="1">
        <v>0.64800000000000002</v>
      </c>
      <c r="N136" s="1">
        <v>0.61</v>
      </c>
      <c r="O136" s="1">
        <v>0.63300000000000001</v>
      </c>
      <c r="P136" s="1">
        <v>0.629</v>
      </c>
      <c r="R136" s="4">
        <f t="shared" si="31"/>
        <v>0.56730000000000003</v>
      </c>
      <c r="S136" s="4">
        <f t="shared" si="32"/>
        <v>0.19216193691779865</v>
      </c>
      <c r="AA136" s="6">
        <f t="shared" si="28"/>
        <v>43.5233160621761</v>
      </c>
    </row>
    <row r="137" spans="1:27" x14ac:dyDescent="0.2">
      <c r="A137" s="1" t="s">
        <v>48</v>
      </c>
      <c r="B137" s="1">
        <v>20</v>
      </c>
      <c r="C137" s="1">
        <v>3</v>
      </c>
      <c r="D137" s="1" t="s">
        <v>61</v>
      </c>
      <c r="E137" s="1" t="s">
        <v>69</v>
      </c>
      <c r="F137" s="2">
        <v>0.38825231481481487</v>
      </c>
      <c r="G137" s="1">
        <v>0.65900000000000003</v>
      </c>
      <c r="H137" s="1">
        <v>0.66300000000000003</v>
      </c>
      <c r="I137" s="1">
        <v>0.66100000000000003</v>
      </c>
      <c r="J137" s="1">
        <v>0.67100000000000004</v>
      </c>
      <c r="K137" s="1">
        <v>0.66800000000000004</v>
      </c>
      <c r="L137" s="1">
        <v>0.66600000000000004</v>
      </c>
      <c r="M137" s="1">
        <v>0.67300000000000004</v>
      </c>
      <c r="N137" s="1">
        <v>0.65800000000000003</v>
      </c>
      <c r="O137" s="1">
        <v>0.67700000000000005</v>
      </c>
      <c r="P137" s="1">
        <v>0.65800000000000003</v>
      </c>
      <c r="R137" s="4">
        <f t="shared" si="31"/>
        <v>0.6654000000000001</v>
      </c>
      <c r="S137" s="4">
        <f t="shared" si="32"/>
        <v>6.3749509802036967E-3</v>
      </c>
      <c r="AA137" s="6">
        <f t="shared" si="28"/>
        <v>51.155115511551152</v>
      </c>
    </row>
    <row r="138" spans="1:27" x14ac:dyDescent="0.2">
      <c r="A138" s="1" t="s">
        <v>48</v>
      </c>
      <c r="B138" s="1">
        <v>20</v>
      </c>
      <c r="C138" s="1">
        <v>4</v>
      </c>
      <c r="D138" s="1" t="s">
        <v>62</v>
      </c>
      <c r="E138" s="1" t="s">
        <v>69</v>
      </c>
      <c r="F138" s="2">
        <v>0.38945601851851852</v>
      </c>
      <c r="G138" s="1">
        <v>0.67100000000000004</v>
      </c>
      <c r="H138" s="1">
        <v>0.68799999999999994</v>
      </c>
      <c r="I138" s="1">
        <v>0.66700000000000004</v>
      </c>
      <c r="J138" s="1">
        <v>0.68300000000000005</v>
      </c>
      <c r="K138" s="1">
        <v>0.66500000000000004</v>
      </c>
      <c r="L138" s="1">
        <v>0.67600000000000005</v>
      </c>
      <c r="M138" s="1">
        <v>0.64800000000000002</v>
      </c>
      <c r="N138" s="1">
        <v>0.66200000000000003</v>
      </c>
      <c r="O138" s="1">
        <v>0.64400000000000002</v>
      </c>
      <c r="P138" s="1">
        <v>0.64700000000000002</v>
      </c>
      <c r="R138" s="4">
        <f t="shared" si="31"/>
        <v>0.66510000000000002</v>
      </c>
      <c r="S138" s="4">
        <f t="shared" si="32"/>
        <v>1.4411453778158534E-2</v>
      </c>
      <c r="AA138" s="6">
        <f t="shared" si="28"/>
        <v>46.24999999999995</v>
      </c>
    </row>
    <row r="139" spans="1:27" x14ac:dyDescent="0.2">
      <c r="A139" s="1" t="s">
        <v>48</v>
      </c>
      <c r="B139" s="1">
        <v>20</v>
      </c>
      <c r="C139" s="1">
        <v>5</v>
      </c>
      <c r="D139" s="1" t="s">
        <v>63</v>
      </c>
      <c r="E139" s="1" t="s">
        <v>69</v>
      </c>
      <c r="F139" s="2">
        <v>0.39079861111111108</v>
      </c>
      <c r="G139" s="1">
        <v>0.60499999999999998</v>
      </c>
      <c r="H139" s="1">
        <v>0.625</v>
      </c>
      <c r="I139" s="1">
        <v>0.59299999999999997</v>
      </c>
      <c r="J139" s="1">
        <v>0.61399999999999999</v>
      </c>
      <c r="K139" s="1">
        <v>0.59</v>
      </c>
      <c r="L139" s="1">
        <v>0.58299999999999996</v>
      </c>
      <c r="M139" s="1">
        <v>0.61799999999999999</v>
      </c>
      <c r="N139" s="1">
        <v>0.63900000000000001</v>
      </c>
      <c r="O139" s="1">
        <v>0.64600000000000002</v>
      </c>
      <c r="P139" s="1">
        <v>0.61899999999999999</v>
      </c>
      <c r="R139" s="4">
        <f t="shared" si="31"/>
        <v>0.61319999999999997</v>
      </c>
      <c r="S139" s="4">
        <f t="shared" si="32"/>
        <v>1.9656042327996767E-2</v>
      </c>
      <c r="AA139" s="6">
        <f t="shared" si="28"/>
        <v>47.97047970479705</v>
      </c>
    </row>
    <row r="140" spans="1:27" x14ac:dyDescent="0.2">
      <c r="A140" s="1" t="s">
        <v>48</v>
      </c>
      <c r="B140" s="1">
        <v>30</v>
      </c>
      <c r="C140" s="1">
        <v>1</v>
      </c>
      <c r="D140" s="1" t="s">
        <v>26</v>
      </c>
      <c r="E140" s="1" t="s">
        <v>69</v>
      </c>
      <c r="F140" s="2">
        <v>0.39253472222222219</v>
      </c>
      <c r="G140" s="1">
        <v>0.64600000000000002</v>
      </c>
      <c r="H140" s="1">
        <v>0.66700000000000004</v>
      </c>
      <c r="I140" s="1">
        <v>0.67400000000000004</v>
      </c>
      <c r="J140" s="1">
        <v>0.68</v>
      </c>
      <c r="K140" s="1">
        <v>0.67800000000000005</v>
      </c>
      <c r="L140" s="1">
        <v>0.63600000000000001</v>
      </c>
      <c r="M140" s="1">
        <v>0.64700000000000002</v>
      </c>
      <c r="N140" s="1">
        <v>0.67900000000000005</v>
      </c>
      <c r="O140" s="1">
        <v>0.66</v>
      </c>
      <c r="P140" s="1">
        <v>0.66700000000000004</v>
      </c>
      <c r="R140" s="4">
        <f t="shared" si="29"/>
        <v>0.66339999999999999</v>
      </c>
      <c r="S140" s="4">
        <f t="shared" si="30"/>
        <v>1.4847221962373985E-2</v>
      </c>
      <c r="T140" s="4">
        <f>AVERAGE(G140:P144)</f>
        <v>0.58212000000000008</v>
      </c>
      <c r="U140" s="4">
        <f>_xlfn.STDEV.P(G140:P144)</f>
        <v>0.18447532517927737</v>
      </c>
      <c r="AA140" s="6">
        <f t="shared" si="28"/>
        <v>34.55882352941174</v>
      </c>
    </row>
    <row r="141" spans="1:27" x14ac:dyDescent="0.2">
      <c r="A141" s="1" t="s">
        <v>48</v>
      </c>
      <c r="B141" s="1">
        <v>30</v>
      </c>
      <c r="C141" s="1">
        <v>2</v>
      </c>
      <c r="D141" s="1" t="s">
        <v>27</v>
      </c>
      <c r="E141" s="1" t="s">
        <v>69</v>
      </c>
      <c r="F141" s="2">
        <v>0.39383101851851854</v>
      </c>
      <c r="G141" s="1">
        <v>0.64800000000000002</v>
      </c>
      <c r="H141" s="1">
        <v>0.63700000000000001</v>
      </c>
      <c r="I141" s="1">
        <v>0.621</v>
      </c>
      <c r="J141" s="1">
        <v>0.58299999999999996</v>
      </c>
      <c r="K141" s="1">
        <v>0.627</v>
      </c>
      <c r="L141" s="1">
        <v>0.64200000000000002</v>
      </c>
      <c r="M141" s="1">
        <v>0.63200000000000001</v>
      </c>
      <c r="N141" s="1">
        <v>0.61699999999999999</v>
      </c>
      <c r="O141" s="1">
        <v>0.63900000000000001</v>
      </c>
      <c r="P141" s="1">
        <v>0.63300000000000001</v>
      </c>
      <c r="R141" s="4">
        <f t="shared" si="29"/>
        <v>0.62790000000000001</v>
      </c>
      <c r="S141" s="4">
        <f t="shared" si="30"/>
        <v>1.7420964382031223E-2</v>
      </c>
      <c r="AA141" s="6">
        <f t="shared" si="28"/>
        <v>44.800000000000004</v>
      </c>
    </row>
    <row r="142" spans="1:27" x14ac:dyDescent="0.2">
      <c r="A142" s="1" t="s">
        <v>48</v>
      </c>
      <c r="B142" s="1">
        <v>30</v>
      </c>
      <c r="C142" s="1">
        <v>3</v>
      </c>
      <c r="D142" s="1" t="s">
        <v>28</v>
      </c>
      <c r="E142" s="1" t="s">
        <v>69</v>
      </c>
      <c r="F142" s="2">
        <v>0.39510416666666665</v>
      </c>
      <c r="G142" s="1">
        <v>0</v>
      </c>
      <c r="H142" s="1">
        <v>0</v>
      </c>
      <c r="I142" s="1">
        <v>0.625</v>
      </c>
      <c r="J142" s="1">
        <v>0.623</v>
      </c>
      <c r="K142" s="1">
        <v>0.63300000000000001</v>
      </c>
      <c r="L142" s="1">
        <v>0.61699999999999999</v>
      </c>
      <c r="M142" s="1">
        <v>0.64800000000000002</v>
      </c>
      <c r="N142" s="1">
        <v>0.61799999999999999</v>
      </c>
      <c r="O142" s="1">
        <v>0.65900000000000003</v>
      </c>
      <c r="P142" s="1">
        <v>0.625</v>
      </c>
      <c r="R142" s="4">
        <f t="shared" si="29"/>
        <v>0.50480000000000003</v>
      </c>
      <c r="S142" s="4">
        <f t="shared" si="30"/>
        <v>0.25271240571052311</v>
      </c>
      <c r="AA142" s="6">
        <f t="shared" si="28"/>
        <v>29.850746268656742</v>
      </c>
    </row>
    <row r="143" spans="1:27" x14ac:dyDescent="0.2">
      <c r="A143" s="1" t="s">
        <v>48</v>
      </c>
      <c r="B143" s="1">
        <v>30</v>
      </c>
      <c r="C143" s="1">
        <v>4</v>
      </c>
      <c r="D143" s="1" t="s">
        <v>29</v>
      </c>
      <c r="E143" s="1" t="s">
        <v>69</v>
      </c>
      <c r="F143" s="2">
        <v>0.39653935185185185</v>
      </c>
      <c r="G143" s="1">
        <v>0.23200000000000001</v>
      </c>
      <c r="H143" s="1">
        <v>0.64600000000000002</v>
      </c>
      <c r="I143" s="1">
        <v>0.63300000000000001</v>
      </c>
      <c r="J143" s="1">
        <v>0.64600000000000002</v>
      </c>
      <c r="K143" s="1">
        <v>0.65200000000000002</v>
      </c>
      <c r="L143" s="1">
        <v>0.65400000000000003</v>
      </c>
      <c r="M143" s="1">
        <v>0.66900000000000004</v>
      </c>
      <c r="N143" s="1">
        <v>0.66300000000000003</v>
      </c>
      <c r="O143" s="1">
        <v>0.66</v>
      </c>
      <c r="P143" s="1">
        <v>0.66</v>
      </c>
      <c r="R143" s="4">
        <f t="shared" si="29"/>
        <v>0.61150000000000004</v>
      </c>
      <c r="S143" s="4">
        <f t="shared" si="30"/>
        <v>0.12687493842363057</v>
      </c>
      <c r="AA143" s="6">
        <f t="shared" si="28"/>
        <v>33.695652173913011</v>
      </c>
    </row>
    <row r="144" spans="1:27" x14ac:dyDescent="0.2">
      <c r="A144" s="1" t="s">
        <v>48</v>
      </c>
      <c r="B144" s="1">
        <v>30</v>
      </c>
      <c r="C144" s="1">
        <v>5</v>
      </c>
      <c r="D144" s="1" t="s">
        <v>30</v>
      </c>
      <c r="E144" s="1" t="s">
        <v>69</v>
      </c>
      <c r="F144" s="2">
        <v>0.3984375</v>
      </c>
      <c r="G144" s="1">
        <v>0</v>
      </c>
      <c r="H144" s="1">
        <v>0</v>
      </c>
      <c r="I144" s="1">
        <v>0.65900000000000003</v>
      </c>
      <c r="J144" s="1">
        <v>0.64500000000000002</v>
      </c>
      <c r="K144" s="1">
        <v>0.65100000000000002</v>
      </c>
      <c r="L144" s="1">
        <v>0.66700000000000004</v>
      </c>
      <c r="M144" s="1">
        <v>0.67</v>
      </c>
      <c r="N144" s="1">
        <v>0.64800000000000002</v>
      </c>
      <c r="O144" s="1">
        <v>0.66100000000000003</v>
      </c>
      <c r="P144" s="1">
        <v>0.42899999999999999</v>
      </c>
      <c r="R144" s="4">
        <f t="shared" si="29"/>
        <v>0.503</v>
      </c>
      <c r="S144" s="4">
        <f t="shared" si="30"/>
        <v>0.26051333938975174</v>
      </c>
      <c r="AA144" s="6">
        <f t="shared" si="28"/>
        <v>27.683615819209017</v>
      </c>
    </row>
    <row r="145" spans="1:27" x14ac:dyDescent="0.2">
      <c r="A145" s="1" t="s">
        <v>48</v>
      </c>
      <c r="B145" s="1">
        <v>45</v>
      </c>
      <c r="C145" s="1">
        <v>1</v>
      </c>
      <c r="D145" s="1" t="s">
        <v>64</v>
      </c>
      <c r="E145" s="1" t="s">
        <v>69</v>
      </c>
      <c r="F145" s="2">
        <v>0.40016203703703707</v>
      </c>
      <c r="G145" s="1">
        <v>0</v>
      </c>
      <c r="H145" s="1">
        <v>0</v>
      </c>
      <c r="I145" s="1">
        <v>0</v>
      </c>
      <c r="J145" s="1">
        <v>0.61299999999999999</v>
      </c>
      <c r="K145" s="1">
        <v>0.63300000000000001</v>
      </c>
      <c r="L145" s="1">
        <v>0.59899999999999998</v>
      </c>
      <c r="M145" s="1">
        <v>0.625</v>
      </c>
      <c r="N145" s="1">
        <v>0.64</v>
      </c>
      <c r="O145" s="1">
        <v>0.61499999999999999</v>
      </c>
      <c r="P145" s="1">
        <v>0.623</v>
      </c>
      <c r="R145" s="4">
        <f t="shared" ref="R145:R149" si="33">AVERAGE(G145:P145)</f>
        <v>0.43479999999999996</v>
      </c>
      <c r="S145" s="4">
        <f t="shared" ref="S145:S149" si="34">_xlfn.STDEV.P(G145:P145)</f>
        <v>0.28483812947005538</v>
      </c>
      <c r="T145" s="4">
        <f>AVERAGE(G145:P149)</f>
        <v>0.30023999999999995</v>
      </c>
      <c r="U145" s="4">
        <f>_xlfn.STDEV.P(G145:P149)</f>
        <v>0.30194109094325011</v>
      </c>
      <c r="AA145" s="6">
        <f t="shared" ref="AA145:AA164" si="35">AA63</f>
        <v>19.819819819819813</v>
      </c>
    </row>
    <row r="146" spans="1:27" x14ac:dyDescent="0.2">
      <c r="A146" s="1" t="s">
        <v>48</v>
      </c>
      <c r="B146" s="1">
        <v>45</v>
      </c>
      <c r="C146" s="1">
        <v>2</v>
      </c>
      <c r="D146" s="1" t="s">
        <v>65</v>
      </c>
      <c r="E146" s="1" t="s">
        <v>69</v>
      </c>
      <c r="F146" s="2">
        <v>0.40171296296296299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0.63300000000000001</v>
      </c>
      <c r="N146" s="1">
        <v>0.64700000000000002</v>
      </c>
      <c r="O146" s="1">
        <v>0.628</v>
      </c>
      <c r="P146" s="1">
        <v>0</v>
      </c>
      <c r="R146" s="4">
        <f t="shared" si="33"/>
        <v>0.1908</v>
      </c>
      <c r="S146" s="4">
        <f t="shared" si="34"/>
        <v>0.29148509395850764</v>
      </c>
      <c r="AA146" s="6">
        <f t="shared" si="35"/>
        <v>13.733905579399142</v>
      </c>
    </row>
    <row r="147" spans="1:27" x14ac:dyDescent="0.2">
      <c r="A147" s="1" t="s">
        <v>48</v>
      </c>
      <c r="B147" s="1">
        <v>45</v>
      </c>
      <c r="C147" s="1">
        <v>3</v>
      </c>
      <c r="D147" s="1" t="s">
        <v>66</v>
      </c>
      <c r="E147" s="1" t="s">
        <v>69</v>
      </c>
      <c r="F147" s="2">
        <v>0.40300925925925929</v>
      </c>
      <c r="G147" s="1">
        <v>0</v>
      </c>
      <c r="H147" s="1">
        <v>0.59599999999999997</v>
      </c>
      <c r="I147" s="1">
        <v>0.60299999999999998</v>
      </c>
      <c r="J147" s="1">
        <v>0.57599999999999996</v>
      </c>
      <c r="K147" s="1">
        <v>9.7000000000000003E-2</v>
      </c>
      <c r="L147" s="1">
        <v>0</v>
      </c>
      <c r="M147" s="1">
        <v>7.0000000000000007E-2</v>
      </c>
      <c r="N147" s="1">
        <v>0.104</v>
      </c>
      <c r="O147" s="1">
        <v>0.32500000000000001</v>
      </c>
      <c r="P147" s="1">
        <v>0.57699999999999996</v>
      </c>
      <c r="R147" s="4">
        <f t="shared" si="33"/>
        <v>0.29480000000000001</v>
      </c>
      <c r="S147" s="4">
        <f t="shared" si="34"/>
        <v>0.25400976359187449</v>
      </c>
      <c r="AA147" s="6">
        <f t="shared" si="35"/>
        <v>14.197530864197585</v>
      </c>
    </row>
    <row r="148" spans="1:27" x14ac:dyDescent="0.2">
      <c r="A148" s="1" t="s">
        <v>48</v>
      </c>
      <c r="B148" s="1">
        <v>45</v>
      </c>
      <c r="C148" s="1">
        <v>4</v>
      </c>
      <c r="D148" s="1" t="s">
        <v>67</v>
      </c>
      <c r="E148" s="1" t="s">
        <v>69</v>
      </c>
      <c r="F148" s="2">
        <v>0.40417824074074077</v>
      </c>
      <c r="G148" s="1">
        <v>9.7000000000000003E-2</v>
      </c>
      <c r="H148" s="1">
        <v>0.61199999999999999</v>
      </c>
      <c r="I148" s="1">
        <v>0.65500000000000003</v>
      </c>
      <c r="J148" s="1">
        <v>0.62</v>
      </c>
      <c r="K148" s="1">
        <v>0.628</v>
      </c>
      <c r="L148" s="1">
        <v>0.63600000000000001</v>
      </c>
      <c r="M148" s="1">
        <v>0.64100000000000001</v>
      </c>
      <c r="N148" s="1">
        <v>0.66</v>
      </c>
      <c r="O148" s="1">
        <v>0.64600000000000002</v>
      </c>
      <c r="P148" s="1">
        <v>0.61299999999999999</v>
      </c>
      <c r="R148" s="4">
        <f t="shared" si="33"/>
        <v>0.58079999999999998</v>
      </c>
      <c r="S148" s="4">
        <f t="shared" si="34"/>
        <v>0.16203012065662367</v>
      </c>
      <c r="AA148" s="6">
        <f t="shared" si="35"/>
        <v>32.732732732732714</v>
      </c>
    </row>
    <row r="149" spans="1:27" x14ac:dyDescent="0.2">
      <c r="A149" s="1" t="s">
        <v>48</v>
      </c>
      <c r="B149" s="1">
        <v>45</v>
      </c>
      <c r="C149" s="1">
        <v>5</v>
      </c>
      <c r="D149" s="1" t="s">
        <v>68</v>
      </c>
      <c r="E149" s="1" t="s">
        <v>69</v>
      </c>
      <c r="F149" s="2">
        <v>0.40537037037037038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R149" s="4">
        <f t="shared" si="33"/>
        <v>0</v>
      </c>
      <c r="S149" s="4">
        <f t="shared" si="34"/>
        <v>0</v>
      </c>
      <c r="AA149" s="6">
        <f t="shared" si="35"/>
        <v>11.11111111111112</v>
      </c>
    </row>
    <row r="150" spans="1:27" x14ac:dyDescent="0.2">
      <c r="A150" s="1" t="s">
        <v>48</v>
      </c>
      <c r="B150" s="1">
        <v>60</v>
      </c>
      <c r="C150" s="1">
        <v>1</v>
      </c>
      <c r="D150" s="1" t="s">
        <v>31</v>
      </c>
      <c r="E150" s="1" t="s">
        <v>69</v>
      </c>
      <c r="F150" s="2">
        <v>0.4073032407407407</v>
      </c>
      <c r="G150" s="1">
        <v>0.309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R150" s="4">
        <f t="shared" si="29"/>
        <v>3.09E-2</v>
      </c>
      <c r="S150" s="4">
        <f t="shared" si="30"/>
        <v>9.2699999999999991E-2</v>
      </c>
      <c r="T150" s="4">
        <f>AVERAGE(G150:P154)</f>
        <v>6.1799999999999997E-3</v>
      </c>
      <c r="U150" s="4">
        <f>_xlfn.STDEV.P(G150:P154)</f>
        <v>4.326E-2</v>
      </c>
      <c r="AA150" s="6">
        <f t="shared" si="35"/>
        <v>10.714285714285712</v>
      </c>
    </row>
    <row r="151" spans="1:27" x14ac:dyDescent="0.2">
      <c r="A151" s="1" t="s">
        <v>48</v>
      </c>
      <c r="B151" s="1">
        <v>60</v>
      </c>
      <c r="C151" s="1">
        <v>2</v>
      </c>
      <c r="D151" s="1" t="s">
        <v>32</v>
      </c>
      <c r="E151" s="1" t="s">
        <v>69</v>
      </c>
      <c r="F151" s="2">
        <v>0.4085185185185185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R151" s="4">
        <f t="shared" si="29"/>
        <v>0</v>
      </c>
      <c r="S151" s="4">
        <f t="shared" si="30"/>
        <v>0</v>
      </c>
      <c r="AA151" s="6">
        <f t="shared" si="35"/>
        <v>11.372549019607824</v>
      </c>
    </row>
    <row r="152" spans="1:27" x14ac:dyDescent="0.2">
      <c r="A152" s="1" t="s">
        <v>48</v>
      </c>
      <c r="B152" s="1">
        <v>60</v>
      </c>
      <c r="C152" s="1">
        <v>3</v>
      </c>
      <c r="D152" s="1" t="s">
        <v>33</v>
      </c>
      <c r="E152" s="1" t="s">
        <v>69</v>
      </c>
      <c r="F152" s="2">
        <v>0.40988425925925925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R152" s="4">
        <f t="shared" si="29"/>
        <v>0</v>
      </c>
      <c r="S152" s="4">
        <f t="shared" si="30"/>
        <v>0</v>
      </c>
      <c r="AA152" s="6">
        <f t="shared" si="35"/>
        <v>7.1428571428571814</v>
      </c>
    </row>
    <row r="153" spans="1:27" x14ac:dyDescent="0.2">
      <c r="A153" s="1" t="s">
        <v>48</v>
      </c>
      <c r="B153" s="1">
        <v>60</v>
      </c>
      <c r="C153" s="1">
        <v>4</v>
      </c>
      <c r="D153" s="1" t="s">
        <v>34</v>
      </c>
      <c r="E153" s="1" t="s">
        <v>69</v>
      </c>
      <c r="F153" s="2">
        <v>0.41101851851851851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R153" s="4">
        <f t="shared" si="29"/>
        <v>0</v>
      </c>
      <c r="S153" s="4">
        <f t="shared" si="30"/>
        <v>0</v>
      </c>
      <c r="AA153" s="6">
        <f t="shared" si="35"/>
        <v>7.0422535211267405</v>
      </c>
    </row>
    <row r="154" spans="1:27" x14ac:dyDescent="0.2">
      <c r="A154" s="1" t="s">
        <v>48</v>
      </c>
      <c r="B154" s="1">
        <v>60</v>
      </c>
      <c r="C154" s="1">
        <v>5</v>
      </c>
      <c r="D154" s="1" t="s">
        <v>35</v>
      </c>
      <c r="E154" s="1" t="s">
        <v>69</v>
      </c>
      <c r="F154" s="2">
        <v>0.41253472222222221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R154" s="4">
        <f t="shared" si="29"/>
        <v>0</v>
      </c>
      <c r="S154" s="4">
        <f t="shared" si="30"/>
        <v>0</v>
      </c>
      <c r="AA154" s="6">
        <f t="shared" si="35"/>
        <v>8.8888888888889515</v>
      </c>
    </row>
    <row r="155" spans="1:27" x14ac:dyDescent="0.2">
      <c r="A155" s="1" t="s">
        <v>48</v>
      </c>
      <c r="B155" s="1">
        <v>120</v>
      </c>
      <c r="C155" s="1">
        <v>1</v>
      </c>
      <c r="D155" s="1" t="s">
        <v>36</v>
      </c>
      <c r="E155" s="1" t="s">
        <v>69</v>
      </c>
      <c r="F155" s="2">
        <v>0.41386574074074073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R155" s="4">
        <f t="shared" si="29"/>
        <v>0</v>
      </c>
      <c r="S155" s="4">
        <f t="shared" si="30"/>
        <v>0</v>
      </c>
      <c r="T155" s="4">
        <f>AVERAGE(G155:P159)</f>
        <v>0</v>
      </c>
      <c r="U155" s="4">
        <f>_xlfn.STDEV.P(G155:P159)</f>
        <v>0</v>
      </c>
      <c r="AA155" s="6">
        <f t="shared" si="35"/>
        <v>10.796460176991191</v>
      </c>
    </row>
    <row r="156" spans="1:27" x14ac:dyDescent="0.2">
      <c r="A156" s="1" t="s">
        <v>48</v>
      </c>
      <c r="B156" s="1">
        <v>120</v>
      </c>
      <c r="C156" s="1">
        <v>2</v>
      </c>
      <c r="D156" s="1" t="s">
        <v>37</v>
      </c>
      <c r="E156" s="1" t="s">
        <v>69</v>
      </c>
      <c r="F156" s="2">
        <v>0.41598379629629628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R156" s="4">
        <f t="shared" si="29"/>
        <v>0</v>
      </c>
      <c r="S156" s="4">
        <f t="shared" si="30"/>
        <v>0</v>
      </c>
      <c r="AA156" s="6">
        <f t="shared" si="35"/>
        <v>25.268817204301076</v>
      </c>
    </row>
    <row r="157" spans="1:27" x14ac:dyDescent="0.2">
      <c r="A157" s="1" t="s">
        <v>48</v>
      </c>
      <c r="B157" s="1">
        <v>120</v>
      </c>
      <c r="C157" s="1">
        <v>3</v>
      </c>
      <c r="D157" s="1" t="s">
        <v>38</v>
      </c>
      <c r="E157" s="1" t="s">
        <v>69</v>
      </c>
      <c r="F157" s="2">
        <v>0.41703703703703704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R157" s="4">
        <f t="shared" si="29"/>
        <v>0</v>
      </c>
      <c r="S157" s="4">
        <f t="shared" si="30"/>
        <v>0</v>
      </c>
      <c r="AA157" s="6">
        <f t="shared" si="35"/>
        <v>8.9285714285713986</v>
      </c>
    </row>
    <row r="158" spans="1:27" x14ac:dyDescent="0.2">
      <c r="A158" s="1" t="s">
        <v>48</v>
      </c>
      <c r="B158" s="1">
        <v>120</v>
      </c>
      <c r="C158" s="1">
        <v>4</v>
      </c>
      <c r="D158" s="1" t="s">
        <v>39</v>
      </c>
      <c r="E158" s="1" t="s">
        <v>69</v>
      </c>
      <c r="F158" s="2">
        <v>0.41814814814814816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R158" s="4">
        <f t="shared" si="29"/>
        <v>0</v>
      </c>
      <c r="S158" s="4">
        <f t="shared" si="30"/>
        <v>0</v>
      </c>
      <c r="AA158" s="6">
        <f t="shared" si="35"/>
        <v>11.724137931034557</v>
      </c>
    </row>
    <row r="159" spans="1:27" x14ac:dyDescent="0.2">
      <c r="A159" s="1" t="s">
        <v>48</v>
      </c>
      <c r="B159" s="1">
        <v>120</v>
      </c>
      <c r="C159" s="1">
        <v>5</v>
      </c>
      <c r="D159" s="1" t="s">
        <v>40</v>
      </c>
      <c r="E159" s="1" t="s">
        <v>69</v>
      </c>
      <c r="F159" s="2">
        <v>0.41925925925925928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R159" s="4">
        <f t="shared" si="29"/>
        <v>0</v>
      </c>
      <c r="S159" s="4">
        <f t="shared" si="30"/>
        <v>0</v>
      </c>
      <c r="AA159" s="6">
        <f t="shared" si="35"/>
        <v>8.3601286173632925</v>
      </c>
    </row>
    <row r="160" spans="1:27" x14ac:dyDescent="0.2">
      <c r="A160" s="1" t="s">
        <v>48</v>
      </c>
      <c r="B160" s="1">
        <v>180</v>
      </c>
      <c r="C160" s="1">
        <v>1</v>
      </c>
      <c r="D160" s="1" t="s">
        <v>41</v>
      </c>
      <c r="E160" s="1" t="s">
        <v>69</v>
      </c>
      <c r="F160" s="2">
        <v>0.42040509259259262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R160" s="4">
        <f t="shared" si="29"/>
        <v>0</v>
      </c>
      <c r="S160" s="4">
        <f t="shared" si="30"/>
        <v>0</v>
      </c>
      <c r="T160" s="4">
        <f>AVERAGE(G160:P164)</f>
        <v>0</v>
      </c>
      <c r="U160" s="4">
        <f>_xlfn.STDEV.P(G160:P164)</f>
        <v>0</v>
      </c>
      <c r="AA160" s="6">
        <f t="shared" si="35"/>
        <v>10.227272727272698</v>
      </c>
    </row>
    <row r="161" spans="1:27" x14ac:dyDescent="0.2">
      <c r="A161" s="1" t="s">
        <v>48</v>
      </c>
      <c r="B161" s="1">
        <v>180</v>
      </c>
      <c r="C161" s="1">
        <v>2</v>
      </c>
      <c r="D161" s="1" t="s">
        <v>42</v>
      </c>
      <c r="E161" s="1" t="s">
        <v>69</v>
      </c>
      <c r="F161" s="2">
        <v>0.42182870370370368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R161" s="4">
        <f t="shared" si="29"/>
        <v>0</v>
      </c>
      <c r="S161" s="4">
        <f t="shared" si="30"/>
        <v>0</v>
      </c>
      <c r="AA161" s="6">
        <f t="shared" si="35"/>
        <v>8.3094555873925451</v>
      </c>
    </row>
    <row r="162" spans="1:27" x14ac:dyDescent="0.2">
      <c r="A162" s="1" t="s">
        <v>48</v>
      </c>
      <c r="B162" s="1">
        <v>180</v>
      </c>
      <c r="C162" s="1">
        <v>3</v>
      </c>
      <c r="D162" s="1" t="s">
        <v>43</v>
      </c>
      <c r="E162" s="1" t="s">
        <v>69</v>
      </c>
      <c r="F162" s="2">
        <v>0.42298611111111112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R162" s="4">
        <f t="shared" si="29"/>
        <v>0</v>
      </c>
      <c r="S162" s="4">
        <f t="shared" si="30"/>
        <v>0</v>
      </c>
      <c r="AA162" s="6">
        <f t="shared" si="35"/>
        <v>9.4202898550724932</v>
      </c>
    </row>
    <row r="163" spans="1:27" x14ac:dyDescent="0.2">
      <c r="A163" s="1" t="s">
        <v>48</v>
      </c>
      <c r="B163" s="1">
        <v>180</v>
      </c>
      <c r="C163" s="1">
        <v>4</v>
      </c>
      <c r="D163" s="1" t="s">
        <v>44</v>
      </c>
      <c r="E163" s="1" t="s">
        <v>69</v>
      </c>
      <c r="F163" s="2">
        <v>0.42425925925925928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R163" s="4">
        <f t="shared" si="29"/>
        <v>0</v>
      </c>
      <c r="S163" s="4">
        <f t="shared" si="30"/>
        <v>0</v>
      </c>
      <c r="AA163" s="6">
        <f t="shared" si="35"/>
        <v>7.142857142857145</v>
      </c>
    </row>
    <row r="164" spans="1:27" x14ac:dyDescent="0.2">
      <c r="A164" s="1" t="s">
        <v>48</v>
      </c>
      <c r="B164" s="1">
        <v>180</v>
      </c>
      <c r="C164" s="1">
        <v>5</v>
      </c>
      <c r="D164" s="1" t="s">
        <v>45</v>
      </c>
      <c r="E164" s="1" t="s">
        <v>69</v>
      </c>
      <c r="F164" s="2">
        <v>0.42622685185185188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R164" s="4">
        <f t="shared" si="29"/>
        <v>0</v>
      </c>
      <c r="S164" s="4">
        <f t="shared" si="30"/>
        <v>0</v>
      </c>
      <c r="AA164" s="6">
        <f t="shared" si="35"/>
        <v>8.6419753086419657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160</vt:i4>
      </vt:variant>
    </vt:vector>
  </HeadingPairs>
  <TitlesOfParts>
    <vt:vector size="161" baseType="lpstr">
      <vt:lpstr>Dataset_analysis</vt:lpstr>
      <vt:lpstr>Dataset_analysis!_20220820_0m_1</vt:lpstr>
      <vt:lpstr>Dataset_analysis!_2305_0m_1_d</vt:lpstr>
      <vt:lpstr>Dataset_analysis!_2305_0m_1_d_w30m</vt:lpstr>
      <vt:lpstr>Dataset_analysis!_2305_0m_1_d_w30m_w1d</vt:lpstr>
      <vt:lpstr>Dataset_analysis!_2305_0m_2</vt:lpstr>
      <vt:lpstr>Dataset_analysis!_2305_0m_2_d</vt:lpstr>
      <vt:lpstr>Dataset_analysis!_2305_0m_2_d_w30m</vt:lpstr>
      <vt:lpstr>Dataset_analysis!_2305_0m_2_d_w30m_w1d</vt:lpstr>
      <vt:lpstr>Dataset_analysis!_2305_0m_3</vt:lpstr>
      <vt:lpstr>Dataset_analysis!_2305_0m_3_d</vt:lpstr>
      <vt:lpstr>Dataset_analysis!_2305_0m_3_d_w30m</vt:lpstr>
      <vt:lpstr>Dataset_analysis!_2305_0m_3_d_w30m_w1d</vt:lpstr>
      <vt:lpstr>Dataset_analysis!_2305_0m_4</vt:lpstr>
      <vt:lpstr>Dataset_analysis!_2305_0m_4_d</vt:lpstr>
      <vt:lpstr>Dataset_analysis!_2305_0m_4_d_w30m</vt:lpstr>
      <vt:lpstr>Dataset_analysis!_2305_0m_4_d_w30m_w1d</vt:lpstr>
      <vt:lpstr>Dataset_analysis!_2305_0m_5</vt:lpstr>
      <vt:lpstr>Dataset_analysis!_2305_0m_5_d</vt:lpstr>
      <vt:lpstr>Dataset_analysis!_2305_0m_5_d_w30m</vt:lpstr>
      <vt:lpstr>Dataset_analysis!_2305_0m_5_d_w30m_w1d</vt:lpstr>
      <vt:lpstr>Dataset_analysis!_2305_10m_1</vt:lpstr>
      <vt:lpstr>Dataset_analysis!_2305_10m_1_d</vt:lpstr>
      <vt:lpstr>Dataset_analysis!_2305_10m_1_d_w30m</vt:lpstr>
      <vt:lpstr>Dataset_analysis!_2305_10m_1_d_w30m_w1d</vt:lpstr>
      <vt:lpstr>Dataset_analysis!_2305_10m_2</vt:lpstr>
      <vt:lpstr>Dataset_analysis!_2305_10m_2_d</vt:lpstr>
      <vt:lpstr>Dataset_analysis!_2305_10m_2_d_w30m</vt:lpstr>
      <vt:lpstr>Dataset_analysis!_2305_10m_2_d_w30m_w1d</vt:lpstr>
      <vt:lpstr>Dataset_analysis!_2305_10m_3</vt:lpstr>
      <vt:lpstr>Dataset_analysis!_2305_10m_3_d</vt:lpstr>
      <vt:lpstr>Dataset_analysis!_2305_10m_3_d_w30m</vt:lpstr>
      <vt:lpstr>Dataset_analysis!_2305_10m_3_d_w30m_w1d_再指定</vt:lpstr>
      <vt:lpstr>Dataset_analysis!_2305_10m_4</vt:lpstr>
      <vt:lpstr>Dataset_analysis!_2305_10m_4_d</vt:lpstr>
      <vt:lpstr>Dataset_analysis!_2305_10m_4_d_w30m</vt:lpstr>
      <vt:lpstr>Dataset_analysis!_2305_10m_4_d_w30m_w1d</vt:lpstr>
      <vt:lpstr>Dataset_analysis!_2305_10m_5</vt:lpstr>
      <vt:lpstr>Dataset_analysis!_2305_10m_5_d</vt:lpstr>
      <vt:lpstr>Dataset_analysis!_2305_10m_5_d_w30m</vt:lpstr>
      <vt:lpstr>Dataset_analysis!_2305_10m_5_d_w30m_w1d</vt:lpstr>
      <vt:lpstr>Dataset_analysis!_2305_1h_1</vt:lpstr>
      <vt:lpstr>Dataset_analysis!_2305_1h_1_d</vt:lpstr>
      <vt:lpstr>Dataset_analysis!_2305_1h_1_d_w30m</vt:lpstr>
      <vt:lpstr>Dataset_analysis!_2305_1h_1_d_w30m_w1d</vt:lpstr>
      <vt:lpstr>Dataset_analysis!_2305_1h_2</vt:lpstr>
      <vt:lpstr>Dataset_analysis!_2305_1h_2_d</vt:lpstr>
      <vt:lpstr>Dataset_analysis!_2305_1h_2_d_w30m</vt:lpstr>
      <vt:lpstr>Dataset_analysis!_2305_1h_2_d_w30m_w1d</vt:lpstr>
      <vt:lpstr>Dataset_analysis!_2305_1h_3</vt:lpstr>
      <vt:lpstr>Dataset_analysis!_2305_1h_3_d</vt:lpstr>
      <vt:lpstr>Dataset_analysis!_2305_1h_3_d_w30m</vt:lpstr>
      <vt:lpstr>Dataset_analysis!_2305_1h_3_d_w30m_w1d</vt:lpstr>
      <vt:lpstr>Dataset_analysis!_2305_1h_4</vt:lpstr>
      <vt:lpstr>Dataset_analysis!_2305_1h_4_d</vt:lpstr>
      <vt:lpstr>Dataset_analysis!_2305_1h_4_d_w30m</vt:lpstr>
      <vt:lpstr>Dataset_analysis!_2305_1h_4_d_w30m_w1d</vt:lpstr>
      <vt:lpstr>Dataset_analysis!_2305_1h_5</vt:lpstr>
      <vt:lpstr>Dataset_analysis!_2305_1h_5_d</vt:lpstr>
      <vt:lpstr>Dataset_analysis!_2305_1h_5_d_w30m</vt:lpstr>
      <vt:lpstr>Dataset_analysis!_2305_1h_5_d_w30m_w1d</vt:lpstr>
      <vt:lpstr>Dataset_analysis!_2305_20m_1</vt:lpstr>
      <vt:lpstr>Dataset_analysis!_2305_20m_1_d_w30m</vt:lpstr>
      <vt:lpstr>Dataset_analysis!_2305_20m_1_d_w30m_w1d</vt:lpstr>
      <vt:lpstr>Dataset_analysis!_2305_20m_1_d_再指定</vt:lpstr>
      <vt:lpstr>Dataset_analysis!_2305_20m_2</vt:lpstr>
      <vt:lpstr>Dataset_analysis!_2305_20m_2_d</vt:lpstr>
      <vt:lpstr>Dataset_analysis!_2305_20m_2_d_w30m</vt:lpstr>
      <vt:lpstr>Dataset_analysis!_2305_20m_2_d_w30m_w1d</vt:lpstr>
      <vt:lpstr>Dataset_analysis!_2305_20m_3</vt:lpstr>
      <vt:lpstr>Dataset_analysis!_2305_20m_3_d</vt:lpstr>
      <vt:lpstr>Dataset_analysis!_2305_20m_3_d_w30m</vt:lpstr>
      <vt:lpstr>Dataset_analysis!_2305_20m_3_d_w30m_w1d</vt:lpstr>
      <vt:lpstr>Dataset_analysis!_2305_20m_4</vt:lpstr>
      <vt:lpstr>Dataset_analysis!_2305_20m_4_d</vt:lpstr>
      <vt:lpstr>Dataset_analysis!_2305_20m_4_d_w30m</vt:lpstr>
      <vt:lpstr>Dataset_analysis!_2305_20m_4_d_w30m_w1d</vt:lpstr>
      <vt:lpstr>Dataset_analysis!_2305_20m_5</vt:lpstr>
      <vt:lpstr>Dataset_analysis!_2305_20m_5_d</vt:lpstr>
      <vt:lpstr>Dataset_analysis!_2305_20m_5_d_w30m</vt:lpstr>
      <vt:lpstr>Dataset_analysis!_2305_20m_5_d_w30m_w1d</vt:lpstr>
      <vt:lpstr>Dataset_analysis!_2305_2h_1</vt:lpstr>
      <vt:lpstr>Dataset_analysis!_2305_2h_1_d</vt:lpstr>
      <vt:lpstr>Dataset_analysis!_2305_2h_1_d_w30m</vt:lpstr>
      <vt:lpstr>Dataset_analysis!_2305_2h_1_d_w30m_w1d</vt:lpstr>
      <vt:lpstr>Dataset_analysis!_2305_2h_2</vt:lpstr>
      <vt:lpstr>Dataset_analysis!_2305_2h_2_d</vt:lpstr>
      <vt:lpstr>Dataset_analysis!_2305_2h_2_d_w30m</vt:lpstr>
      <vt:lpstr>Dataset_analysis!_2305_2h_2_d_w30m_w1d</vt:lpstr>
      <vt:lpstr>Dataset_analysis!_2305_2h_3</vt:lpstr>
      <vt:lpstr>Dataset_analysis!_2305_2h_3_d</vt:lpstr>
      <vt:lpstr>Dataset_analysis!_2305_2h_3_d_w30m</vt:lpstr>
      <vt:lpstr>Dataset_analysis!_2305_2h_3_d_w30m_w1d</vt:lpstr>
      <vt:lpstr>Dataset_analysis!_2305_2h_4</vt:lpstr>
      <vt:lpstr>Dataset_analysis!_2305_2h_4_d</vt:lpstr>
      <vt:lpstr>Dataset_analysis!_2305_2h_4_d_w30m</vt:lpstr>
      <vt:lpstr>Dataset_analysis!_2305_2h_4_d_w30m_w1d</vt:lpstr>
      <vt:lpstr>Dataset_analysis!_2305_2h_5</vt:lpstr>
      <vt:lpstr>Dataset_analysis!_2305_2h_5_d</vt:lpstr>
      <vt:lpstr>Dataset_analysis!_2305_2h_5_d_w30m</vt:lpstr>
      <vt:lpstr>Dataset_analysis!_2305_2h_5_d_w30m_w1d</vt:lpstr>
      <vt:lpstr>Dataset_analysis!_2305_30m_1</vt:lpstr>
      <vt:lpstr>Dataset_analysis!_2305_30m_1_d</vt:lpstr>
      <vt:lpstr>Dataset_analysis!_2305_30m_1_d_w30m</vt:lpstr>
      <vt:lpstr>Dataset_analysis!_2305_30m_1_d_w30m_w1d</vt:lpstr>
      <vt:lpstr>Dataset_analysis!_2305_30m_2</vt:lpstr>
      <vt:lpstr>Dataset_analysis!_2305_30m_2_d</vt:lpstr>
      <vt:lpstr>Dataset_analysis!_2305_30m_2_d_w30m</vt:lpstr>
      <vt:lpstr>Dataset_analysis!_2305_30m_2_d_w30m_w1d</vt:lpstr>
      <vt:lpstr>Dataset_analysis!_2305_30m_3</vt:lpstr>
      <vt:lpstr>Dataset_analysis!_2305_30m_3_d</vt:lpstr>
      <vt:lpstr>Dataset_analysis!_2305_30m_3_d_w30m</vt:lpstr>
      <vt:lpstr>Dataset_analysis!_2305_30m_3_d_w30m_w1d</vt:lpstr>
      <vt:lpstr>Dataset_analysis!_2305_30m_4</vt:lpstr>
      <vt:lpstr>Dataset_analysis!_2305_30m_4_d</vt:lpstr>
      <vt:lpstr>Dataset_analysis!_2305_30m_4_d_w30m</vt:lpstr>
      <vt:lpstr>Dataset_analysis!_2305_30m_4_d_w30m_w1d</vt:lpstr>
      <vt:lpstr>Dataset_analysis!_2305_30m_5</vt:lpstr>
      <vt:lpstr>Dataset_analysis!_2305_30m_5_d</vt:lpstr>
      <vt:lpstr>Dataset_analysis!_2305_30m_5_d_w30m</vt:lpstr>
      <vt:lpstr>Dataset_analysis!_2305_30m_5_d_w30m_w1d</vt:lpstr>
      <vt:lpstr>Dataset_analysis!_2305_3h_1</vt:lpstr>
      <vt:lpstr>Dataset_analysis!_2305_3h_1_d</vt:lpstr>
      <vt:lpstr>Dataset_analysis!_2305_3h_1_d_w30m</vt:lpstr>
      <vt:lpstr>Dataset_analysis!_2305_3h_1_d_w30m_w1d</vt:lpstr>
      <vt:lpstr>Dataset_analysis!_2305_3h_2</vt:lpstr>
      <vt:lpstr>Dataset_analysis!_2305_3h_2_d</vt:lpstr>
      <vt:lpstr>Dataset_analysis!_2305_3h_2_d_w30m</vt:lpstr>
      <vt:lpstr>Dataset_analysis!_2305_3h_2_d_w30m_w1d</vt:lpstr>
      <vt:lpstr>Dataset_analysis!_2305_3h_3</vt:lpstr>
      <vt:lpstr>Dataset_analysis!_2305_3h_3_d</vt:lpstr>
      <vt:lpstr>Dataset_analysis!_2305_3h_3_d_w30m</vt:lpstr>
      <vt:lpstr>Dataset_analysis!_2305_3h_3_d_w30m_w1d</vt:lpstr>
      <vt:lpstr>Dataset_analysis!_2305_3h_4</vt:lpstr>
      <vt:lpstr>Dataset_analysis!_2305_3h_4_d</vt:lpstr>
      <vt:lpstr>Dataset_analysis!_2305_3h_4_d_w30m</vt:lpstr>
      <vt:lpstr>Dataset_analysis!_2305_3h_4_d_w30m_w1d</vt:lpstr>
      <vt:lpstr>Dataset_analysis!_2305_3h_5</vt:lpstr>
      <vt:lpstr>Dataset_analysis!_2305_3h_5_d</vt:lpstr>
      <vt:lpstr>Dataset_analysis!_2305_3h_5_d_w30m</vt:lpstr>
      <vt:lpstr>Dataset_analysis!_2305_3h_5_d_w30m_w1d</vt:lpstr>
      <vt:lpstr>Dataset_analysis!_2305_45m_1</vt:lpstr>
      <vt:lpstr>Dataset_analysis!_2305_45m_1_d</vt:lpstr>
      <vt:lpstr>Dataset_analysis!_2305_45m_1_d_w30m</vt:lpstr>
      <vt:lpstr>Dataset_analysis!_2305_45m_1_d_w30m_w1d</vt:lpstr>
      <vt:lpstr>Dataset_analysis!_2305_45m_2</vt:lpstr>
      <vt:lpstr>Dataset_analysis!_2305_45m_2_d</vt:lpstr>
      <vt:lpstr>Dataset_analysis!_2305_45m_2_d_w30m</vt:lpstr>
      <vt:lpstr>Dataset_analysis!_2305_45m_2_d_w30m_w1d</vt:lpstr>
      <vt:lpstr>Dataset_analysis!_2305_45m_3</vt:lpstr>
      <vt:lpstr>Dataset_analysis!_2305_45m_3_d</vt:lpstr>
      <vt:lpstr>Dataset_analysis!_2305_45m_3_d_w30m</vt:lpstr>
      <vt:lpstr>Dataset_analysis!_2305_45m_3_d_w30m_w1d</vt:lpstr>
      <vt:lpstr>Dataset_analysis!_2305_45m_4</vt:lpstr>
      <vt:lpstr>Dataset_analysis!_2305_45m_4_d</vt:lpstr>
      <vt:lpstr>Dataset_analysis!_2305_45m_4_d_w30m</vt:lpstr>
      <vt:lpstr>Dataset_analysis!_2305_45m_4_d_w30m_w1d</vt:lpstr>
      <vt:lpstr>Dataset_analysis!_2305_45m_5</vt:lpstr>
      <vt:lpstr>Dataset_analysis!_2305_45m_5_d</vt:lpstr>
      <vt:lpstr>Dataset_analysis!_2305_45m_5_d_w30m</vt:lpstr>
      <vt:lpstr>Dataset_analysis!_2305_45m_5_d_w30m_w1d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Ryuta Terada</dc:creator>
  <cp:lastModifiedBy>寺田　竜太</cp:lastModifiedBy>
  <dcterms:created xsi:type="dcterms:W3CDTF">2022-09-06T06:21:08Z</dcterms:created>
  <dcterms:modified xsi:type="dcterms:W3CDTF">2026-01-14T01:46:02Z</dcterms:modified>
</cp:coreProperties>
</file>